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15afac01e746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fer Cards" sheetId="1" r:id="Rd8cde8ee173b428a"/>
    <x:sheet xmlns:r="http://schemas.openxmlformats.org/officeDocument/2006/relationships" name="Cost Scale" sheetId="2" r:id="R4b52064cc9224adc"/>
    <x:sheet xmlns:r="http://schemas.openxmlformats.org/officeDocument/2006/relationships" name="Effect Keys" sheetId="3" r:id="Rd87eb1382fd64815"/>
    <x:sheet xmlns:r="http://schemas.openxmlformats.org/officeDocument/2006/relationships" name="Summary" sheetId="4" r:id="Ra763d1da44ac44f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1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B3D91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 vertical="top" wrapText="1"/>
    </x:xf>
    <x:xf numFmtId="200" fontId="0" fillId="0" borderId="1" xfId="0" applyNumberFormat="1" applyFont="1" applyFill="1" applyBorder="1" applyAlignment="1">
      <x:alignment horizontal="center"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center"/>
    </x:xf>
    <x:xf numFmtId="200" fontId="0" fillId="0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0B3D91"/>
      </x:font>
      <x:fill>
        <x:patternFill patternType="solid">
          <x:bgColor rgb="DCEBFF"/>
        </x:patternFill>
      </x:fill>
    </x:dxf>
    <x:dxf>
      <x:fill>
        <x:patternFill patternType="solid">
          <x:bgColor rgb="F8FAFC"/>
        </x:patternFill>
      </x:fill>
    </x:dxf>
    <x:dxf>
      <x:fill>
        <x:patternFill patternType="solid">
          <x:bgColor rgb="DBEAFE"/>
        </x:patternFill>
      </x:fill>
    </x:dxf>
    <x:dxf>
      <x:fill>
        <x:patternFill patternType="solid">
          <x:bgColor rgb="FEF3C7"/>
        </x:patternFill>
      </x:fill>
    </x:dxf>
    <x:dxf>
      <x:fill>
        <x:patternFill patternType="solid">
          <x:bgColor rgb="FECAC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87ca00aee14c69" /><Relationship Type="http://schemas.openxmlformats.org/officeDocument/2006/relationships/theme" Target="/xl/theme/theme1.xml" Id="Re37b8fe714364ea8" /><Relationship Type="http://schemas.openxmlformats.org/officeDocument/2006/relationships/sharedStrings" Target="/xl/sharedStrings.xml" Id="Rd72135d2a77c4ed0" /><Relationship Type="http://schemas.openxmlformats.org/officeDocument/2006/relationships/worksheet" Target="/xl/worksheets/sheet1.xml" Id="Rd8cde8ee173b428a" /><Relationship Type="http://schemas.openxmlformats.org/officeDocument/2006/relationships/worksheet" Target="/xl/worksheets/sheet2.xml" Id="R4b52064cc9224adc" /><Relationship Type="http://schemas.openxmlformats.org/officeDocument/2006/relationships/worksheet" Target="/xl/worksheets/sheet3.xml" Id="Rd87eb1382fd64815" /><Relationship Type="http://schemas.openxmlformats.org/officeDocument/2006/relationships/worksheet" Target="/xl/worksheets/sheet4.xml" Id="Ra763d1da44ac44fd" /></Relationships>
</file>

<file path=xl/tables/table1.xml><?xml version="1.0" encoding="utf-8"?>
<x:table xmlns:x="http://schemas.openxmlformats.org/spreadsheetml/2006/main" id="1" name="SurferCardsTable" displayName="SurferCardsTable" ref="A1:S18" headerRowCount="1">
  <x:tableColumns count="19">
    <x:tableColumn id="1" name="id"/>
    <x:tableColumn id="2" name="slug"/>
    <x:tableColumn id="3" name="name"/>
    <x:tableColumn id="4" name="faction"/>
    <x:tableColumn id="5" name="type"/>
    <x:tableColumn id="6" name="subtype"/>
    <x:tableColumn id="7" name="spirit_cost"/>
    <x:tableColumn id="8" name="attack"/>
    <x:tableColumn id="9" name="health"/>
    <x:tableColumn id="10" name="rules_text"/>
    <x:tableColumn id="11" name="effect_key"/>
    <x:tableColumn id="12" name="amount"/>
    <x:tableColumn id="13" name="secondary_amount"/>
    <x:tableColumn id="14" name="target"/>
    <x:tableColumn id="15" name="duration"/>
    <x:tableColumn id="16" name="image_file"/>
    <x:tableColumn id="17" name="source_file"/>
    <x:tableColumn id="18" name="rarity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urferCostScaleTable" displayName="SurferCostScaleTable" ref="A1:B6" headerRowCount="1">
  <x:tableColumns count="2">
    <x:tableColumn id="1" name="Cost Scale"/>
    <x:tableColumn id="2" name="Rule"/>
  </x:tableColumns>
  <x:tableStyleInfo name="TableStyleMedium2" showRowStripes="1"/>
</x:table>
</file>

<file path=xl/tables/table3.xml><?xml version="1.0" encoding="utf-8"?>
<x:table xmlns:x="http://schemas.openxmlformats.org/spreadsheetml/2006/main" id="3" name="SurferEffectKeysTable" displayName="SurferEffectKeysTable" ref="A1:G4" headerRowCount="1">
  <x:tableColumns count="7">
    <x:tableColumn id="1" name="effect_key"/>
    <x:tableColumn id="2" name="plain_english_logic"/>
    <x:tableColumn id="3" name="amount"/>
    <x:tableColumn id="4" name="secondary_amount"/>
    <x:tableColumn id="5" name="target"/>
    <x:tableColumn id="6" name="duration"/>
    <x:tableColumn id="7" name="implementation_notes"/>
  </x:tableColumns>
  <x:tableStyleInfo name="TableStyleMedium2" showRowStripes="1"/>
</x:table>
</file>

<file path=xl/tables/table4.xml><?xml version="1.0" encoding="utf-8"?>
<x:table xmlns:x="http://schemas.openxmlformats.org/spreadsheetml/2006/main" id="4" name="SurferWarriorSummaryTable" displayName="SurferWarriorSummaryTable" ref="A13:D27" headerRowCount="1">
  <x:tableColumns count="4">
    <x:tableColumn id="1" name="Warrior"/>
    <x:tableColumn id="2" name="ATK"/>
    <x:tableColumn id="3" name="HEALTH"/>
    <x:tableColumn id="4" name="Cos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130c565025642f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572cb91d3b94d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f6286398ab40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1056ce8074f4cf8" /></Relationships>
</file>

<file path=xl/worksheets/sheet1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4" hidden="0" customWidth="1"/>
    <x:col min="3" max="3" width="28" hidden="0" customWidth="1"/>
    <x:col min="4" max="4" width="12" hidden="0" customWidth="1"/>
    <x:col min="5" max="5" width="12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46" hidden="0" customWidth="1"/>
    <x:col min="11" max="11" width="36" hidden="0" customWidth="1"/>
    <x:col min="12" max="12" width="14" hidden="0" customWidth="1"/>
    <x:col min="13" max="13" width="18" hidden="0" customWidth="1"/>
    <x:col min="14" max="14" width="26" hidden="0" customWidth="1"/>
    <x:col min="15" max="15" width="18" hidden="0" customWidth="1"/>
    <x:col min="16" max="16" width="28" hidden="0" customWidth="1"/>
    <x:col min="17" max="17" width="34" hidden="0" customWidth="1"/>
    <x:col min="18" max="18" width="12" hidden="0" customWidth="1"/>
    <x:col min="19" max="19" width="42" hidden="0" customWidth="1"/>
  </x:cols>
  <x:sheetData>
    <x:row r="1" ht="15" hidden="0" customHeight="1">
      <x:c r="A1" s="6" t="str">
        <x:v>id</x:v>
      </x:c>
      <x:c r="B1" s="6" t="str">
        <x:v>slug</x:v>
      </x:c>
      <x:c r="C1" s="6" t="str">
        <x:v>name</x:v>
      </x:c>
      <x:c r="D1" s="6" t="str">
        <x:v>faction</x:v>
      </x:c>
      <x:c r="E1" s="6" t="str">
        <x:v>type</x:v>
      </x:c>
      <x:c r="F1" s="6" t="str">
        <x:v>subtype</x:v>
      </x:c>
      <x:c r="G1" s="6" t="str">
        <x:v>spirit_cost</x:v>
      </x:c>
      <x:c r="H1" s="6" t="str">
        <x:v>attack</x:v>
      </x:c>
      <x:c r="I1" s="6" t="str">
        <x:v>health</x:v>
      </x:c>
      <x:c r="J1" s="6" t="str">
        <x:v>rules_text</x:v>
      </x:c>
      <x:c r="K1" s="6" t="str">
        <x:v>effect_key</x:v>
      </x:c>
      <x:c r="L1" s="6" t="str">
        <x:v>amount</x:v>
      </x:c>
      <x:c r="M1" s="6" t="str">
        <x:v>secondary_amount</x:v>
      </x:c>
      <x:c r="N1" s="6" t="str">
        <x:v>target</x:v>
      </x:c>
      <x:c r="O1" s="6" t="str">
        <x:v>duration</x:v>
      </x:c>
      <x:c r="P1" s="6" t="str">
        <x:v>image_file</x:v>
      </x:c>
      <x:c r="Q1" s="6" t="str">
        <x:v>source_file</x:v>
      </x:c>
      <x:c r="R1" s="6" t="str">
        <x:v>rarity</x:v>
      </x:c>
      <x:c r="S1" s="6" t="str">
        <x:v>notes</x:v>
      </x:c>
    </x:row>
    <x:row r="2" ht="15" hidden="0" customHeight="1">
      <x:c r="A2" s="13" t="str">
        <x:v>surfer_warrior_alluvium</x:v>
      </x:c>
      <x:c r="B2" s="13" t="str">
        <x:v>alluvium</x:v>
      </x:c>
      <x:c r="C2" s="13" t="str">
        <x:v>Alluvium</x:v>
      </x:c>
      <x:c r="D2" s="13" t="str">
        <x:v>Surfer</x:v>
      </x:c>
      <x:c r="E2" s="13" t="str">
        <x:v>Warrior</x:v>
      </x:c>
      <x:c r="F2" s="13"/>
      <x:c r="G2" s="18" t="n">
        <x:v>1</x:v>
      </x:c>
      <x:c r="H2" s="18" t="n">
        <x:v>2100</x:v>
      </x:c>
      <x:c r="I2" s="18" t="n">
        <x:v>6250</x:v>
      </x:c>
      <x:c r="J2" s="13"/>
      <x:c r="K2" s="13"/>
      <x:c r="L2" s="16"/>
      <x:c r="M2" s="16"/>
      <x:c r="N2" s="13"/>
      <x:c r="O2" s="13"/>
      <x:c r="P2" s="13" t="str">
        <x:v>alluvium.webp</x:v>
      </x:c>
      <x:c r="Q2" s="13" t="str">
        <x:v>Alluvium.png</x:v>
      </x:c>
      <x:c r="R2" s="13" t="str">
        <x:v>Beta</x:v>
      </x:c>
      <x:c r="S2" s="13"/>
    </x:row>
    <x:row r="3" ht="39.599998474121094" hidden="0" customHeight="1">
      <x:c r="A3" s="13" t="str">
        <x:v>surfer_attack_serfs_bondage</x:v>
      </x:c>
      <x:c r="B3" s="13" t="str">
        <x:v>serfs-bondage</x:v>
      </x:c>
      <x:c r="C3" s="13" t="str">
        <x:v>Serf’s Bondage</x:v>
      </x:c>
      <x:c r="D3" s="13" t="str">
        <x:v>Surfer</x:v>
      </x:c>
      <x:c r="E3" s="13" t="str">
        <x:v>Attack</x:v>
      </x:c>
      <x:c r="F3" s="13" t="str">
        <x:v>Lingering</x:v>
      </x:c>
      <x:c r="G3" s="18" t="n">
        <x:v>1</x:v>
      </x:c>
      <x:c r="H3" s="18"/>
      <x:c r="I3" s="18"/>
      <x:c r="J3" s="13" t="str">
        <x:v>Deal 1000 damage to up to 2 Warriors on your opponent’s side of the field. These Warriors cannot attack on their next turn.</x:v>
      </x:c>
      <x:c r="K3" s="13" t="str">
        <x:v>damage_up_to_two_and_disable_next_turn</x:v>
      </x:c>
      <x:c r="L3" s="16" t="n">
        <x:v>1000</x:v>
      </x:c>
      <x:c r="M3" s="16"/>
      <x:c r="N3" s="13" t="str">
        <x:v>up_to_2_opponent_warriors</x:v>
      </x:c>
      <x:c r="O3" s="13" t="str">
        <x:v>next_turn</x:v>
      </x:c>
      <x:c r="P3" s="13" t="str">
        <x:v>serfs-bondage.webp</x:v>
      </x:c>
      <x:c r="Q3" s="13" t="str">
        <x:v>Apathetic Restraint.png</x:v>
      </x:c>
      <x:c r="R3" s="13" t="str">
        <x:v>Beta</x:v>
      </x:c>
      <x:c r="S3" s="13" t="str">
        <x:v>Visible card title differs from uploaded filename.</x:v>
      </x:c>
    </x:row>
    <x:row r="4" ht="15" hidden="0" customHeight="1">
      <x:c r="A4" s="13" t="str">
        <x:v>surfer_warrior_aur_neolin</x:v>
      </x:c>
      <x:c r="B4" s="13" t="str">
        <x:v>aur-neolin</x:v>
      </x:c>
      <x:c r="C4" s="13" t="str">
        <x:v>Aur Neolin</x:v>
      </x:c>
      <x:c r="D4" s="13" t="str">
        <x:v>Surfer</x:v>
      </x:c>
      <x:c r="E4" s="13" t="str">
        <x:v>Warrior</x:v>
      </x:c>
      <x:c r="F4" s="13"/>
      <x:c r="G4" s="18" t="n">
        <x:v>1</x:v>
      </x:c>
      <x:c r="H4" s="18" t="n">
        <x:v>1900</x:v>
      </x:c>
      <x:c r="I4" s="18" t="n">
        <x:v>5500</x:v>
      </x:c>
      <x:c r="J4" s="13"/>
      <x:c r="K4" s="13"/>
      <x:c r="L4" s="16"/>
      <x:c r="M4" s="16"/>
      <x:c r="N4" s="13"/>
      <x:c r="O4" s="13"/>
      <x:c r="P4" s="13" t="str">
        <x:v>aur-neolin.webp</x:v>
      </x:c>
      <x:c r="Q4" s="13" t="str">
        <x:v>Aur Neolin.png</x:v>
      </x:c>
      <x:c r="R4" s="13" t="str">
        <x:v>Beta</x:v>
      </x:c>
      <x:c r="S4" s="13"/>
    </x:row>
    <x:row r="5" ht="26.399999618530273" hidden="0" customHeight="1">
      <x:c r="A5" s="13" t="str">
        <x:v>surfer_attack_bitter_guard</x:v>
      </x:c>
      <x:c r="B5" s="13" t="str">
        <x:v>bitter-guard</x:v>
      </x:c>
      <x:c r="C5" s="13" t="str">
        <x:v>Bitter Guard</x:v>
      </x:c>
      <x:c r="D5" s="13" t="str">
        <x:v>Surfer</x:v>
      </x:c>
      <x:c r="E5" s="13" t="str">
        <x:v>Attack</x:v>
      </x:c>
      <x:c r="F5" s="13" t="str">
        <x:v>Burst</x:v>
      </x:c>
      <x:c r="G5" s="18" t="n">
        <x:v>1</x:v>
      </x:c>
      <x:c r="H5" s="18"/>
      <x:c r="I5" s="18"/>
      <x:c r="J5" s="13" t="str">
        <x:v>On your opponent’s next turn, all their ATTACK damage is cut in half.</x:v>
      </x:c>
      <x:c r="K5" s="13" t="str">
        <x:v>halve_opponent_attack_damage_next_turn</x:v>
      </x:c>
      <x:c r="L5" s="16" t="n">
        <x:v>0.5</x:v>
      </x:c>
      <x:c r="M5" s="16"/>
      <x:c r="N5" s="13" t="str">
        <x:v>opponent_attack_damage</x:v>
      </x:c>
      <x:c r="O5" s="13" t="str">
        <x:v>opponent_next_turn</x:v>
      </x:c>
      <x:c r="P5" s="13" t="str">
        <x:v>bitter-guard.webp</x:v>
      </x:c>
      <x:c r="Q5" s="13" t="str">
        <x:v>Bitter Guard.png</x:v>
      </x:c>
      <x:c r="R5" s="13" t="str">
        <x:v>Beta</x:v>
      </x:c>
      <x:c r="S5" s="13" t="str">
        <x:v>Effect applies to Attack-card damage unless rules define ATTACK as all attack damage.</x:v>
      </x:c>
    </x:row>
    <x:row r="6" ht="26.399999618530273" hidden="0" customHeight="1">
      <x:c r="A6" s="13" t="str">
        <x:v>surfer_warrior_captain_cold_rain_kai</x:v>
      </x:c>
      <x:c r="B6" s="13" t="str">
        <x:v>captain-cold-rain-kai</x:v>
      </x:c>
      <x:c r="C6" s="13" t="str">
        <x:v>Captain “Cold Rain” Kai</x:v>
      </x:c>
      <x:c r="D6" s="13" t="str">
        <x:v>Surfer</x:v>
      </x:c>
      <x:c r="E6" s="13" t="str">
        <x:v>Warrior</x:v>
      </x:c>
      <x:c r="F6" s="13"/>
      <x:c r="G6" s="18" t="n">
        <x:v>2</x:v>
      </x:c>
      <x:c r="H6" s="18" t="n">
        <x:v>2400</x:v>
      </x:c>
      <x:c r="I6" s="18" t="n">
        <x:v>6500</x:v>
      </x:c>
      <x:c r="J6" s="13"/>
      <x:c r="K6" s="13"/>
      <x:c r="L6" s="16"/>
      <x:c r="M6" s="16"/>
      <x:c r="N6" s="13"/>
      <x:c r="O6" s="13"/>
      <x:c r="P6" s="13" t="str">
        <x:v>captain-cold-rain-kai.webp</x:v>
      </x:c>
      <x:c r="Q6" s="13" t="str">
        <x:v>Captain ““Cold Rain” Kai.png</x:v>
      </x:c>
      <x:c r="R6" s="13" t="str">
        <x:v>Beta</x:v>
      </x:c>
      <x:c r="S6" s="13" t="str">
        <x:v>Uploaded filename contains an extra opening quotation mark.</x:v>
      </x:c>
    </x:row>
    <x:row r="7" ht="15" hidden="0" customHeight="1">
      <x:c r="A7" s="13" t="str">
        <x:v>surfer_warrior_chiup_flowiktu</x:v>
      </x:c>
      <x:c r="B7" s="13" t="str">
        <x:v>chiup-flowiktu</x:v>
      </x:c>
      <x:c r="C7" s="13" t="str">
        <x:v>Chiup Flowiktu</x:v>
      </x:c>
      <x:c r="D7" s="13" t="str">
        <x:v>Surfer</x:v>
      </x:c>
      <x:c r="E7" s="13" t="str">
        <x:v>Warrior</x:v>
      </x:c>
      <x:c r="F7" s="13"/>
      <x:c r="G7" s="18" t="n">
        <x:v>1</x:v>
      </x:c>
      <x:c r="H7" s="18" t="n">
        <x:v>2000</x:v>
      </x:c>
      <x:c r="I7" s="18" t="n">
        <x:v>5800</x:v>
      </x:c>
      <x:c r="J7" s="13"/>
      <x:c r="K7" s="13"/>
      <x:c r="L7" s="16"/>
      <x:c r="M7" s="16"/>
      <x:c r="N7" s="13"/>
      <x:c r="O7" s="13"/>
      <x:c r="P7" s="13" t="str">
        <x:v>chiup-flowiktu.webp</x:v>
      </x:c>
      <x:c r="Q7" s="13" t="str">
        <x:v>Chiup Flowiktu.png</x:v>
      </x:c>
      <x:c r="R7" s="13" t="str">
        <x:v>Beta</x:v>
      </x:c>
      <x:c r="S7" s="13"/>
    </x:row>
    <x:row r="8" ht="15" hidden="0" customHeight="1">
      <x:c r="A8" s="13" t="str">
        <x:v>surfer_warrior_countess_kalix</x:v>
      </x:c>
      <x:c r="B8" s="13" t="str">
        <x:v>countess-kalix</x:v>
      </x:c>
      <x:c r="C8" s="13" t="str">
        <x:v>Countess Kalix</x:v>
      </x:c>
      <x:c r="D8" s="13" t="str">
        <x:v>Surfer</x:v>
      </x:c>
      <x:c r="E8" s="13" t="str">
        <x:v>Warrior</x:v>
      </x:c>
      <x:c r="F8" s="13"/>
      <x:c r="G8" s="18" t="n">
        <x:v>2</x:v>
      </x:c>
      <x:c r="H8" s="18" t="n">
        <x:v>2300</x:v>
      </x:c>
      <x:c r="I8" s="18" t="n">
        <x:v>5000</x:v>
      </x:c>
      <x:c r="J8" s="13"/>
      <x:c r="K8" s="13"/>
      <x:c r="L8" s="16"/>
      <x:c r="M8" s="16"/>
      <x:c r="N8" s="13"/>
      <x:c r="O8" s="13"/>
      <x:c r="P8" s="13" t="str">
        <x:v>countess-kalix.webp</x:v>
      </x:c>
      <x:c r="Q8" s="13" t="str">
        <x:v>Countess Kalix.png</x:v>
      </x:c>
      <x:c r="R8" s="13" t="str">
        <x:v>Beta</x:v>
      </x:c>
      <x:c r="S8" s="13"/>
    </x:row>
    <x:row r="9" ht="15" hidden="0" customHeight="1">
      <x:c r="A9" s="13" t="str">
        <x:v>surfer_warrior_delta_renvatten</x:v>
      </x:c>
      <x:c r="B9" s="13" t="str">
        <x:v>delta-renvatten</x:v>
      </x:c>
      <x:c r="C9" s="13" t="str">
        <x:v>Delta Renvatten</x:v>
      </x:c>
      <x:c r="D9" s="13" t="str">
        <x:v>Surfer</x:v>
      </x:c>
      <x:c r="E9" s="13" t="str">
        <x:v>Warrior</x:v>
      </x:c>
      <x:c r="F9" s="13"/>
      <x:c r="G9" s="18" t="n">
        <x:v>2</x:v>
      </x:c>
      <x:c r="H9" s="18" t="n">
        <x:v>2500</x:v>
      </x:c>
      <x:c r="I9" s="18" t="n">
        <x:v>7000</x:v>
      </x:c>
      <x:c r="J9" s="13"/>
      <x:c r="K9" s="13"/>
      <x:c r="L9" s="16"/>
      <x:c r="M9" s="16"/>
      <x:c r="N9" s="13"/>
      <x:c r="O9" s="13"/>
      <x:c r="P9" s="13" t="str">
        <x:v>delta-renvatten.webp</x:v>
      </x:c>
      <x:c r="Q9" s="13" t="str">
        <x:v>Delta Renvatten.png</x:v>
      </x:c>
      <x:c r="R9" s="13" t="str">
        <x:v>Beta</x:v>
      </x:c>
      <x:c r="S9" s="13"/>
    </x:row>
    <x:row r="10" ht="15" hidden="0" customHeight="1">
      <x:c r="A10" s="13" t="str">
        <x:v>surfer_warrior_fen_larkin</x:v>
      </x:c>
      <x:c r="B10" s="13" t="str">
        <x:v>fen-larkin</x:v>
      </x:c>
      <x:c r="C10" s="13" t="str">
        <x:v>Fen Larkin</x:v>
      </x:c>
      <x:c r="D10" s="13" t="str">
        <x:v>Surfer</x:v>
      </x:c>
      <x:c r="E10" s="13" t="str">
        <x:v>Warrior</x:v>
      </x:c>
      <x:c r="F10" s="13"/>
      <x:c r="G10" s="18" t="n">
        <x:v>1</x:v>
      </x:c>
      <x:c r="H10" s="18" t="n">
        <x:v>2200</x:v>
      </x:c>
      <x:c r="I10" s="18" t="n">
        <x:v>5500</x:v>
      </x:c>
      <x:c r="J10" s="13"/>
      <x:c r="K10" s="13"/>
      <x:c r="L10" s="16"/>
      <x:c r="M10" s="16"/>
      <x:c r="N10" s="13"/>
      <x:c r="O10" s="13"/>
      <x:c r="P10" s="13" t="str">
        <x:v>fen-larkin.webp</x:v>
      </x:c>
      <x:c r="Q10" s="13" t="str">
        <x:v>Fen Larkin.png</x:v>
      </x:c>
      <x:c r="R10" s="13" t="str">
        <x:v>Beta</x:v>
      </x:c>
      <x:c r="S10" s="13"/>
    </x:row>
    <x:row r="11" ht="15" hidden="0" customHeight="1">
      <x:c r="A11" s="13" t="str">
        <x:v>surfer_attack_floe_breaker</x:v>
      </x:c>
      <x:c r="B11" s="13" t="str">
        <x:v>floe-breaker</x:v>
      </x:c>
      <x:c r="C11" s="13" t="str">
        <x:v>Floe Breaker</x:v>
      </x:c>
      <x:c r="D11" s="13" t="str">
        <x:v>Surfer</x:v>
      </x:c>
      <x:c r="E11" s="13" t="str">
        <x:v>Attack</x:v>
      </x:c>
      <x:c r="F11" s="13" t="str">
        <x:v>Burst</x:v>
      </x:c>
      <x:c r="G11" s="18" t="n">
        <x:v>1</x:v>
      </x:c>
      <x:c r="H11" s="18"/>
      <x:c r="I11" s="18"/>
      <x:c r="J11" s="13" t="str">
        <x:v>Add 2000 additional damage to your next attack.</x:v>
      </x:c>
      <x:c r="K11" s="13" t="str">
        <x:v>add_damage_to_next_attack</x:v>
      </x:c>
      <x:c r="L11" s="16" t="n">
        <x:v>2000</x:v>
      </x:c>
      <x:c r="M11" s="16"/>
      <x:c r="N11" s="13" t="str">
        <x:v>your_next_attack</x:v>
      </x:c>
      <x:c r="O11" s="13" t="str">
        <x:v>next_attack</x:v>
      </x:c>
      <x:c r="P11" s="13" t="str">
        <x:v>floe-breaker.webp</x:v>
      </x:c>
      <x:c r="Q11" s="13" t="str">
        <x:v>Floe Breaker(1).png</x:v>
      </x:c>
      <x:c r="R11" s="13" t="str">
        <x:v>Beta</x:v>
      </x:c>
      <x:c r="S11" s="13"/>
    </x:row>
    <x:row r="12" ht="26.399999618530273" hidden="0" customHeight="1">
      <x:c r="A12" s="13" t="str">
        <x:v>surfer_warrior_freia_renvatten</x:v>
      </x:c>
      <x:c r="B12" s="13" t="str">
        <x:v>freia-renvatten</x:v>
      </x:c>
      <x:c r="C12" s="13" t="str">
        <x:v>Freia Renvatten</x:v>
      </x:c>
      <x:c r="D12" s="13" t="str">
        <x:v>Surfer</x:v>
      </x:c>
      <x:c r="E12" s="13" t="str">
        <x:v>Warrior</x:v>
      </x:c>
      <x:c r="F12" s="13"/>
      <x:c r="G12" s="18" t="n">
        <x:v>1</x:v>
      </x:c>
      <x:c r="H12" s="18" t="n">
        <x:v>1850</x:v>
      </x:c>
      <x:c r="I12" s="18" t="n">
        <x:v>10000</x:v>
      </x:c>
      <x:c r="J12" s="13"/>
      <x:c r="K12" s="13"/>
      <x:c r="L12" s="16"/>
      <x:c r="M12" s="16"/>
      <x:c r="N12" s="13"/>
      <x:c r="O12" s="13"/>
      <x:c r="P12" s="13" t="str">
        <x:v>freia-renvatten.webp</x:v>
      </x:c>
      <x:c r="Q12" s="13" t="str">
        <x:v>Freia Renvatten.png</x:v>
      </x:c>
      <x:c r="R12" s="13" t="str">
        <x:v>Beta</x:v>
      </x:c>
      <x:c r="S12" s="13" t="str">
        <x:v>Very high health; cost follows ATK-only scale per instruction.</x:v>
      </x:c>
    </x:row>
    <x:row r="13" ht="15" hidden="0" customHeight="1">
      <x:c r="A13" s="13" t="str">
        <x:v>surfer_warrior_haito</x:v>
      </x:c>
      <x:c r="B13" s="13" t="str">
        <x:v>haito</x:v>
      </x:c>
      <x:c r="C13" s="13" t="str">
        <x:v>Haito</x:v>
      </x:c>
      <x:c r="D13" s="13" t="str">
        <x:v>Surfer</x:v>
      </x:c>
      <x:c r="E13" s="13" t="str">
        <x:v>Warrior</x:v>
      </x:c>
      <x:c r="F13" s="13"/>
      <x:c r="G13" s="18" t="n">
        <x:v>1</x:v>
      </x:c>
      <x:c r="H13" s="18" t="n">
        <x:v>2000</x:v>
      </x:c>
      <x:c r="I13" s="18" t="n">
        <x:v>6500</x:v>
      </x:c>
      <x:c r="J13" s="13"/>
      <x:c r="K13" s="13"/>
      <x:c r="L13" s="16"/>
      <x:c r="M13" s="16"/>
      <x:c r="N13" s="13"/>
      <x:c r="O13" s="13"/>
      <x:c r="P13" s="13" t="str">
        <x:v>haito.webp</x:v>
      </x:c>
      <x:c r="Q13" s="13" t="str">
        <x:v>Haito.png</x:v>
      </x:c>
      <x:c r="R13" s="13" t="str">
        <x:v>Beta</x:v>
      </x:c>
      <x:c r="S13" s="13"/>
    </x:row>
    <x:row r="14" ht="15" hidden="0" customHeight="1">
      <x:c r="A14" s="13" t="str">
        <x:v>surfer_warrior_kade_ritz</x:v>
      </x:c>
      <x:c r="B14" s="13" t="str">
        <x:v>kade-ritz</x:v>
      </x:c>
      <x:c r="C14" s="13" t="str">
        <x:v>Kade Ritz</x:v>
      </x:c>
      <x:c r="D14" s="13" t="str">
        <x:v>Surfer</x:v>
      </x:c>
      <x:c r="E14" s="13" t="str">
        <x:v>Warrior</x:v>
      </x:c>
      <x:c r="F14" s="13"/>
      <x:c r="G14" s="18" t="n">
        <x:v>2</x:v>
      </x:c>
      <x:c r="H14" s="18" t="n">
        <x:v>2450</x:v>
      </x:c>
      <x:c r="I14" s="18" t="n">
        <x:v>6300</x:v>
      </x:c>
      <x:c r="J14" s="13"/>
      <x:c r="K14" s="13"/>
      <x:c r="L14" s="16"/>
      <x:c r="M14" s="16"/>
      <x:c r="N14" s="13"/>
      <x:c r="O14" s="13"/>
      <x:c r="P14" s="13" t="str">
        <x:v>kade-ritz.webp</x:v>
      </x:c>
      <x:c r="Q14" s="13" t="str">
        <x:v>Kade Ritz.png</x:v>
      </x:c>
      <x:c r="R14" s="13" t="str">
        <x:v>Beta</x:v>
      </x:c>
      <x:c r="S14" s="13"/>
    </x:row>
    <x:row r="15" ht="15" hidden="0" customHeight="1">
      <x:c r="A15" s="13" t="str">
        <x:v>surfer_warrior_kaltvatten</x:v>
      </x:c>
      <x:c r="B15" s="13" t="str">
        <x:v>kaltvatten</x:v>
      </x:c>
      <x:c r="C15" s="13" t="str">
        <x:v>Kaltvatten</x:v>
      </x:c>
      <x:c r="D15" s="13" t="str">
        <x:v>Surfer</x:v>
      </x:c>
      <x:c r="E15" s="13" t="str">
        <x:v>Warrior</x:v>
      </x:c>
      <x:c r="F15" s="13"/>
      <x:c r="G15" s="18" t="n">
        <x:v>3</x:v>
      </x:c>
      <x:c r="H15" s="18" t="n">
        <x:v>3000</x:v>
      </x:c>
      <x:c r="I15" s="18" t="n">
        <x:v>6500</x:v>
      </x:c>
      <x:c r="J15" s="13"/>
      <x:c r="K15" s="13"/>
      <x:c r="L15" s="16"/>
      <x:c r="M15" s="16"/>
      <x:c r="N15" s="13"/>
      <x:c r="O15" s="13"/>
      <x:c r="P15" s="13" t="str">
        <x:v>kaltvatten.webp</x:v>
      </x:c>
      <x:c r="Q15" s="13" t="str">
        <x:v>Kaltvatten.png</x:v>
      </x:c>
      <x:c r="R15" s="13" t="str">
        <x:v>Beta</x:v>
      </x:c>
      <x:c r="S15" s="13" t="str">
        <x:v>Top ATK profile in this batch.</x:v>
      </x:c>
    </x:row>
    <x:row r="16" ht="15" hidden="0" customHeight="1">
      <x:c r="A16" s="13" t="str">
        <x:v>surfer_warrior_mark_lee_fathom</x:v>
      </x:c>
      <x:c r="B16" s="13" t="str">
        <x:v>mark-lee-fathom</x:v>
      </x:c>
      <x:c r="C16" s="13" t="str">
        <x:v>Mark Lee Fathom</x:v>
      </x:c>
      <x:c r="D16" s="13" t="str">
        <x:v>Surfer</x:v>
      </x:c>
      <x:c r="E16" s="13" t="str">
        <x:v>Warrior</x:v>
      </x:c>
      <x:c r="F16" s="13"/>
      <x:c r="G16" s="18" t="n">
        <x:v>2</x:v>
      </x:c>
      <x:c r="H16" s="18" t="n">
        <x:v>2400</x:v>
      </x:c>
      <x:c r="I16" s="18" t="n">
        <x:v>6500</x:v>
      </x:c>
      <x:c r="J16" s="13"/>
      <x:c r="K16" s="13"/>
      <x:c r="L16" s="16"/>
      <x:c r="M16" s="16"/>
      <x:c r="N16" s="13"/>
      <x:c r="O16" s="13"/>
      <x:c r="P16" s="13" t="str">
        <x:v>mark-lee-fathom.webp</x:v>
      </x:c>
      <x:c r="Q16" s="13" t="str">
        <x:v>Mark Lee Fathom.png</x:v>
      </x:c>
      <x:c r="R16" s="13" t="str">
        <x:v>Beta</x:v>
      </x:c>
      <x:c r="S16" s="13"/>
    </x:row>
    <x:row r="17" ht="15" hidden="0" customHeight="1">
      <x:c r="A17" s="13" t="str">
        <x:v>surfer_warrior_okee</x:v>
      </x:c>
      <x:c r="B17" s="13" t="str">
        <x:v>okee</x:v>
      </x:c>
      <x:c r="C17" s="13" t="str">
        <x:v>Okee</x:v>
      </x:c>
      <x:c r="D17" s="13" t="str">
        <x:v>Surfer</x:v>
      </x:c>
      <x:c r="E17" s="13" t="str">
        <x:v>Warrior</x:v>
      </x:c>
      <x:c r="F17" s="13"/>
      <x:c r="G17" s="18" t="n">
        <x:v>3</x:v>
      </x:c>
      <x:c r="H17" s="18" t="n">
        <x:v>2700</x:v>
      </x:c>
      <x:c r="I17" s="18" t="n">
        <x:v>6000</x:v>
      </x:c>
      <x:c r="J17" s="13"/>
      <x:c r="K17" s="13"/>
      <x:c r="L17" s="16"/>
      <x:c r="M17" s="16"/>
      <x:c r="N17" s="13"/>
      <x:c r="O17" s="13"/>
      <x:c r="P17" s="13" t="str">
        <x:v>okee.webp</x:v>
      </x:c>
      <x:c r="Q17" s="13" t="str">
        <x:v>Okee.png</x:v>
      </x:c>
      <x:c r="R17" s="13" t="str">
        <x:v>Beta</x:v>
      </x:c>
      <x:c r="S17" s="13"/>
    </x:row>
    <x:row r="18" ht="15" hidden="0" customHeight="1">
      <x:c r="A18" s="13" t="str">
        <x:v>surfer_warrior_pandora_the_island_eater</x:v>
      </x:c>
      <x:c r="B18" s="13" t="str">
        <x:v>pandora-the-island-eater</x:v>
      </x:c>
      <x:c r="C18" s="13" t="str">
        <x:v>Pandora the Island Eater</x:v>
      </x:c>
      <x:c r="D18" s="13" t="str">
        <x:v>Surfer</x:v>
      </x:c>
      <x:c r="E18" s="13" t="str">
        <x:v>Warrior</x:v>
      </x:c>
      <x:c r="F18" s="13"/>
      <x:c r="G18" s="18" t="n">
        <x:v>1</x:v>
      </x:c>
      <x:c r="H18" s="18" t="n">
        <x:v>2000</x:v>
      </x:c>
      <x:c r="I18" s="18" t="n">
        <x:v>6300</x:v>
      </x:c>
      <x:c r="J18" s="13"/>
      <x:c r="K18" s="13"/>
      <x:c r="L18" s="16"/>
      <x:c r="M18" s="16"/>
      <x:c r="N18" s="13"/>
      <x:c r="O18" s="13"/>
      <x:c r="P18" s="13" t="str">
        <x:v>pandora-the-island-eater.webp</x:v>
      </x:c>
      <x:c r="Q18" s="13" t="str">
        <x:v>Pandora the Island Eater.png</x:v>
      </x:c>
      <x:c r="R18" s="13" t="str">
        <x:v>Beta</x:v>
      </x:c>
      <x:c r="S18" s="13"/>
    </x:row>
  </x:sheetData>
  <x:conditionalFormatting sqref="E2:E18">
    <x:cfRule type="expression" dxfId="0" priority="1">
      <x:formula>E2="Attack"</x:formula>
    </x:cfRule>
    <x:cfRule type="expression" dxfId="1" priority="2">
      <x:formula>E2="Warrior"</x:formula>
    </x:cfRule>
  </x:conditionalFormatting>
  <x:conditionalFormatting sqref="G2:G18">
    <x:cfRule type="cellIs" dxfId="2" priority="3">
      <x:formula>1</x:formula>
    </x:cfRule>
    <x:cfRule type="cellIs" dxfId="3" priority="4">
      <x:formula>2</x:formula>
    </x:cfRule>
    <x:cfRule type="cellIs" dxfId="4" priority="5">
      <x:formula>3</x:formula>
    </x:cfRule>
  </x:conditionalFormatting>
  <x:conditionalFormatting sqref="H2:H18">
    <x:cfRule type="dataBar" priority="6">
      <x:dataBar>
        <x:cfvo type="min"/>
        <x:cfvo type="max"/>
        <x:color rgb="2563EB"/>
      </x:dataBar>
      <x:extLst>
        <x:ext xmlns:x14="http://schemas.microsoft.com/office/spreadsheetml/2009/9/main" uri="{B025F937-C7B1-47D3-B67F-A62EFF666E3E}">
          <x14:id>{92962E8C-B2D0-CA5E-5DE8-8767193D560B}</x14:id>
        </x:ext>
      </x:extLst>
    </x:cfRule>
  </x:conditionalFormatting>
  <x:conditionalFormatting sqref="I2:I18">
    <x:cfRule type="dataBar" priority="7">
      <x:dataBar>
        <x:cfvo type="min"/>
        <x:cfvo type="max"/>
        <x:color rgb="60A5FA"/>
      </x:dataBar>
      <x:extLst>
        <x:ext xmlns:x14="http://schemas.microsoft.com/office/spreadsheetml/2009/9/main" uri="{B025F937-C7B1-47D3-B67F-A62EFF666E3E}">
          <x14:id>{97DDD23C-BE97-4CE6-E8BE-74E8916AE35C}</x14:id>
        </x:ext>
      </x:extLst>
    </x:cfRule>
  </x:conditionalFormatting>
  <x:dataValidations count="4">
    <x:dataValidation type="list" sqref="D2:D18">
      <x:formula1>"Surfer"</x:formula1>
    </x:dataValidation>
    <x:dataValidation type="list" sqref="E2:E18">
      <x:formula1>"Warrior,Attack"</x:formula1>
    </x:dataValidation>
    <x:dataValidation type="list" sqref="F2:F18">
      <x:formula1>"Burst,Lingering,Finisher,Multi"</x:formula1>
    </x:dataValidation>
    <x:dataValidation type="list" sqref="R2:R18">
      <x:formula1>"Beta,Final,Needs 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30c565025642fd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6" id="{92962E8C-B2D0-CA5E-5DE8-8767193D560B}">
            <x14:dataBar gradient="1">
              <x14:cfvo type="min"/>
              <x14:cfvo type="max"/>
              <x14:fillColor rgb="2563EB"/>
            </x14:dataBar>
          </x14:cfRule>
          <xm:sqref>H2:H18</xm:sqref>
        </x14:conditionalFormatting>
        <x14:conditionalFormatting>
          <x14:cfRule type="dataBar" priority="7" id="{97DDD23C-BE97-4CE6-E8BE-74E8916AE35C}">
            <x14:dataBar gradient="1">
              <x14:cfvo type="min"/>
              <x14:cfvo type="max"/>
              <x14:fillColor rgb="60A5FA"/>
            </x14:dataBar>
          </x14:cfRule>
          <xm:sqref>I2:I18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72" hidden="0" customWidth="1"/>
  </x:cols>
  <x:sheetData>
    <x:row r="1" ht="15" hidden="0" customHeight="1">
      <x:c r="A1" s="20" t="str">
        <x:v>Cost Scale</x:v>
      </x:c>
      <x:c r="B1" s="20" t="str">
        <x:v>Rule</x:v>
      </x:c>
    </x:row>
    <x:row r="2" ht="15" hidden="0" customHeight="1">
      <x:c r="A2" s="23" t="str">
        <x:v>1 Spirit</x:v>
      </x:c>
      <x:c r="B2" s="12" t="str">
        <x:v>Warrior ATK &lt;= 2200</x:v>
      </x:c>
    </x:row>
    <x:row r="3" ht="15" hidden="0" customHeight="1">
      <x:c r="A3" s="23" t="str">
        <x:v>2 Spirit</x:v>
      </x:c>
      <x:c r="B3" s="12" t="str">
        <x:v>Warrior ATK 2300–2500</x:v>
      </x:c>
    </x:row>
    <x:row r="4" ht="15" hidden="0" customHeight="1">
      <x:c r="A4" s="23" t="str">
        <x:v>3 Spirit</x:v>
      </x:c>
      <x:c r="B4" s="12" t="str">
        <x:v>Warrior ATK &gt;= 2600</x:v>
      </x:c>
    </x:row>
    <x:row r="5" ht="15" hidden="0" customHeight="1">
      <x:c r="A5" s="23" t="str">
        <x:v>1 Spirit</x:v>
      </x:c>
      <x:c r="B5" s="12" t="str">
        <x:v>All Attack cards</x:v>
      </x:c>
    </x:row>
    <x:row r="6" ht="15" hidden="0" customHeight="1">
      <x:c r="A6" s="23" t="str">
        <x:v>Note</x:v>
      </x:c>
      <x:c r="B6" s="12" t="str">
        <x:v>Costs ignore existing card costs and are scaled by ATK range, per beta setup.</x:v>
      </x:c>
    </x:row>
  </x:sheetData>
  <x:pageMargins left="0.7" right="0.7" top="0.75" bottom="0.75" header="0.3" footer="0.3"/>
  <x:tableParts count="1">
    <x:tablePart xmlns:r="http://schemas.openxmlformats.org/officeDocument/2006/relationships" r:id="R2572cb91d3b94dc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62" hidden="0" customWidth="1"/>
    <x:col min="3" max="3" width="14" hidden="0" customWidth="1"/>
    <x:col min="4" max="4" width="18" hidden="0" customWidth="1"/>
    <x:col min="5" max="5" width="28" hidden="0" customWidth="1"/>
    <x:col min="6" max="6" width="20" hidden="0" customWidth="1"/>
    <x:col min="7" max="7" width="56" hidden="0" customWidth="1"/>
  </x:cols>
  <x:sheetData>
    <x:row r="1" ht="15" hidden="0" customHeight="1">
      <x:c r="A1" s="6" t="str">
        <x:v>effect_key</x:v>
      </x:c>
      <x:c r="B1" s="6" t="str">
        <x:v>plain_english_logic</x:v>
      </x:c>
      <x:c r="C1" s="6" t="str">
        <x:v>amount</x:v>
      </x:c>
      <x:c r="D1" s="6" t="str">
        <x:v>secondary_amount</x:v>
      </x:c>
      <x:c r="E1" s="6" t="str">
        <x:v>target</x:v>
      </x:c>
      <x:c r="F1" s="6" t="str">
        <x:v>duration</x:v>
      </x:c>
      <x:c r="G1" s="6" t="str">
        <x:v>implementation_notes</x:v>
      </x:c>
    </x:row>
    <x:row r="2" ht="26.399999618530273" hidden="0" customHeight="1">
      <x:c r="A2" s="13" t="str">
        <x:v>damage_up_to_two_and_disable_next_turn</x:v>
      </x:c>
      <x:c r="B2" s="13" t="str">
        <x:v>Deal damage to up to two opponent Warriors, then prevent those selected Warriors from attacking on their next turn.</x:v>
      </x:c>
      <x:c r="C2" s="13" t="n">
        <x:v>1000</x:v>
      </x:c>
      <x:c r="D2" s="13"/>
      <x:c r="E2" s="13" t="str">
        <x:v>up_to_2_opponent_warriors</x:v>
      </x:c>
      <x:c r="F2" s="13" t="str">
        <x:v>next_turn</x:v>
      </x:c>
      <x:c r="G2" s="13" t="str">
        <x:v>Requires target selection of one or two legal opponent Warriors; rules engine must mark them as attack-disabled for their next turn.</x:v>
      </x:c>
    </x:row>
    <x:row r="3" ht="26.399999618530273" hidden="0" customHeight="1">
      <x:c r="A3" s="13" t="str">
        <x:v>halve_opponent_attack_damage_next_turn</x:v>
      </x:c>
      <x:c r="B3" s="13" t="str">
        <x:v>On the opponent’s next turn, cut all of their ATTACK damage in half.</x:v>
      </x:c>
      <x:c r="C3" s="13" t="n">
        <x:v>0.5</x:v>
      </x:c>
      <x:c r="D3" s="13"/>
      <x:c r="E3" s="13" t="str">
        <x:v>opponent_attack_damage</x:v>
      </x:c>
      <x:c r="F3" s="13" t="str">
        <x:v>opponent_next_turn</x:v>
      </x:c>
      <x:c r="G3" s="13" t="str">
        <x:v>Clarify whether ATTACK means Attack-card damage only or all damage from attacking.</x:v>
      </x:c>
    </x:row>
    <x:row r="4" ht="26.399999618530273" hidden="0" customHeight="1">
      <x:c r="A4" s="13" t="str">
        <x:v>add_damage_to_next_attack</x:v>
      </x:c>
      <x:c r="B4" s="13" t="str">
        <x:v>Add damage to your next attack.</x:v>
      </x:c>
      <x:c r="C4" s="13" t="n">
        <x:v>2000</x:v>
      </x:c>
      <x:c r="D4" s="13"/>
      <x:c r="E4" s="13" t="str">
        <x:v>your_next_attack</x:v>
      </x:c>
      <x:c r="F4" s="13" t="str">
        <x:v>next_attack</x:v>
      </x:c>
      <x:c r="G4" s="13" t="str">
        <x:v>Buff should expire after the next attack resolves, even if the target is destroyed.</x:v>
      </x:c>
    </x:row>
  </x:sheetData>
  <x:pageMargins left="0.7" right="0.7" top="0.75" bottom="0.75" header="0.3" footer="0.3"/>
  <x:tableParts count="1">
    <x:tablePart xmlns:r="http://schemas.openxmlformats.org/officeDocument/2006/relationships" r:id="Rd5f6286398ab40c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4" hidden="0" customWidth="1"/>
    <x:col min="3" max="3" width="16" hidden="0" customWidth="1"/>
    <x:col min="4" max="4" width="10" hidden="0" customWidth="1"/>
  </x:cols>
  <x:sheetData>
    <x:row r="1" ht="19.200000762939453" hidden="0" customHeight="1">
      <x:c r="A1" s="28" t="str">
        <x:v>Euphoria TCG — Surfer Beta Spreadsheet</x:v>
      </x:c>
      <x:c r="B1" s="28"/>
      <x:c r="C1" s="28"/>
      <x:c r="D1" s="28"/>
    </x:row>
    <x:row r="2" ht="15" hidden="0" customHeight="1">
      <x:c r="A2" s="23" t="str">
        <x:v>Generated</x:v>
      </x:c>
      <x:c r="B2" s="32" t="str">
        <x:v>2026-05-21 02:07 UTC</x:v>
      </x:c>
    </x:row>
    <x:row r="3" ht="15" hidden="0" customHeight="1">
      <x:c r="A3" s="23" t="str">
        <x:v>Total cards</x:v>
      </x:c>
      <x:c r="B3" s="32" t="n">
        <x:f>COUNTA('Surfer Cards'!A2:A18)</x:f>
        <x:v>17</x:v>
      </x:c>
    </x:row>
    <x:row r="4" ht="15" hidden="0" customHeight="1">
      <x:c r="A4" s="23" t="str">
        <x:v>Warrior cards</x:v>
      </x:c>
      <x:c r="B4" s="32" t="n">
        <x:f>COUNTIF('Surfer Cards'!E2:E18,"Warrior")</x:f>
        <x:v>14</x:v>
      </x:c>
    </x:row>
    <x:row r="5" ht="15" hidden="0" customHeight="1">
      <x:c r="A5" s="23" t="str">
        <x:v>Attack cards</x:v>
      </x:c>
      <x:c r="B5" s="32" t="n">
        <x:f>COUNTIF('Surfer Cards'!E2:E18,"Attack")</x:f>
        <x:v>3</x:v>
      </x:c>
    </x:row>
    <x:row r="6" ht="15" hidden="0" customHeight="1">
      <x:c r="A6" s="23" t="str">
        <x:v>Average Warrior ATK</x:v>
      </x:c>
      <x:c r="B6" s="32" t="n">
        <x:f>AVERAGEIF('Surfer Cards'!E2:E18,"Warrior",'Surfer Cards'!H2:H18)</x:f>
        <x:v>2271.4285714285716</x:v>
      </x:c>
    </x:row>
    <x:row r="7" ht="15" hidden="0" customHeight="1">
      <x:c r="A7" s="23" t="str">
        <x:v>Average Warrior HEALTH</x:v>
      </x:c>
      <x:c r="B7" s="32" t="n">
        <x:f>AVERAGEIF('Surfer Cards'!E2:E18,"Warrior",'Surfer Cards'!I2:I18)</x:f>
        <x:v>6403.571428571428</x:v>
      </x:c>
    </x:row>
    <x:row r="8" ht="15" hidden="0" customHeight="1">
      <x:c r="A8" s="23" t="str">
        <x:v>Cost 1 Warriors</x:v>
      </x:c>
      <x:c r="B8" s="32" t="n">
        <x:f>COUNTIFS('Surfer Cards'!E2:E18,"Warrior",'Surfer Cards'!G2:G18,1)</x:f>
        <x:v>7</x:v>
      </x:c>
    </x:row>
    <x:row r="9" ht="15" hidden="0" customHeight="1">
      <x:c r="A9" s="23" t="str">
        <x:v>Cost 2 Warriors</x:v>
      </x:c>
      <x:c r="B9" s="32" t="n">
        <x:f>COUNTIFS('Surfer Cards'!E2:E18,"Warrior",'Surfer Cards'!G2:G18,2)</x:f>
        <x:v>5</x:v>
      </x:c>
    </x:row>
    <x:row r="10" ht="15" hidden="0" customHeight="1">
      <x:c r="A10" s="23" t="str">
        <x:v>Cost 3 Warriors</x:v>
      </x:c>
      <x:c r="B10" s="32" t="n">
        <x:f>COUNTIFS('Surfer Cards'!E2:E18,"Warrior",'Surfer Cards'!G2:G18,3)</x:f>
        <x:v>2</x:v>
      </x:c>
    </x:row>
    <x:row r="11"/>
    <x:row r="12"/>
    <x:row r="13" ht="15" hidden="0" customHeight="1">
      <x:c r="A13" s="20" t="str">
        <x:v>Warrior</x:v>
      </x:c>
      <x:c r="B13" s="20" t="str">
        <x:v>ATK</x:v>
      </x:c>
      <x:c r="C13" s="20" t="str">
        <x:v>HEALTH</x:v>
      </x:c>
      <x:c r="D13" s="20" t="str">
        <x:v>Cost</x:v>
      </x:c>
    </x:row>
    <x:row r="14" ht="15" hidden="0" customHeight="1">
      <x:c r="A14" t="str">
        <x:v>Alluvium</x:v>
      </x:c>
      <x:c r="B14" s="34" t="n">
        <x:v>2100</x:v>
      </x:c>
      <x:c r="C14" s="34" t="n">
        <x:v>6250</x:v>
      </x:c>
      <x:c r="D14" s="34" t="n">
        <x:v>1</x:v>
      </x:c>
    </x:row>
    <x:row r="15" ht="15" hidden="0" customHeight="1">
      <x:c r="A15" t="str">
        <x:v>Aur Neolin</x:v>
      </x:c>
      <x:c r="B15" s="34" t="n">
        <x:v>1900</x:v>
      </x:c>
      <x:c r="C15" s="34" t="n">
        <x:v>5500</x:v>
      </x:c>
      <x:c r="D15" s="34" t="n">
        <x:v>1</x:v>
      </x:c>
    </x:row>
    <x:row r="16" ht="15" hidden="0" customHeight="1">
      <x:c r="A16" t="str">
        <x:v>Captain “Cold Rain” Kai</x:v>
      </x:c>
      <x:c r="B16" s="34" t="n">
        <x:v>2400</x:v>
      </x:c>
      <x:c r="C16" s="34" t="n">
        <x:v>6500</x:v>
      </x:c>
      <x:c r="D16" s="34" t="n">
        <x:v>2</x:v>
      </x:c>
    </x:row>
    <x:row r="17" ht="15" hidden="0" customHeight="1">
      <x:c r="A17" t="str">
        <x:v>Chiup Flowiktu</x:v>
      </x:c>
      <x:c r="B17" s="34" t="n">
        <x:v>2000</x:v>
      </x:c>
      <x:c r="C17" s="34" t="n">
        <x:v>5800</x:v>
      </x:c>
      <x:c r="D17" s="34" t="n">
        <x:v>1</x:v>
      </x:c>
    </x:row>
    <x:row r="18" ht="15" hidden="0" customHeight="1">
      <x:c r="A18" t="str">
        <x:v>Countess Kalix</x:v>
      </x:c>
      <x:c r="B18" s="34" t="n">
        <x:v>2300</x:v>
      </x:c>
      <x:c r="C18" s="34" t="n">
        <x:v>5000</x:v>
      </x:c>
      <x:c r="D18" s="34" t="n">
        <x:v>2</x:v>
      </x:c>
    </x:row>
    <x:row r="19" ht="15" hidden="0" customHeight="1">
      <x:c r="A19" t="str">
        <x:v>Delta Renvatten</x:v>
      </x:c>
      <x:c r="B19" s="34" t="n">
        <x:v>2500</x:v>
      </x:c>
      <x:c r="C19" s="34" t="n">
        <x:v>7000</x:v>
      </x:c>
      <x:c r="D19" s="34" t="n">
        <x:v>2</x:v>
      </x:c>
    </x:row>
    <x:row r="20" ht="15" hidden="0" customHeight="1">
      <x:c r="A20" t="str">
        <x:v>Fen Larkin</x:v>
      </x:c>
      <x:c r="B20" s="34" t="n">
        <x:v>2200</x:v>
      </x:c>
      <x:c r="C20" s="34" t="n">
        <x:v>5500</x:v>
      </x:c>
      <x:c r="D20" s="34" t="n">
        <x:v>1</x:v>
      </x:c>
    </x:row>
    <x:row r="21" ht="15" hidden="0" customHeight="1">
      <x:c r="A21" t="str">
        <x:v>Freia Renvatten</x:v>
      </x:c>
      <x:c r="B21" s="34" t="n">
        <x:v>1850</x:v>
      </x:c>
      <x:c r="C21" s="34" t="n">
        <x:v>10000</x:v>
      </x:c>
      <x:c r="D21" s="34" t="n">
        <x:v>1</x:v>
      </x:c>
    </x:row>
    <x:row r="22" ht="15" hidden="0" customHeight="1">
      <x:c r="A22" t="str">
        <x:v>Haito</x:v>
      </x:c>
      <x:c r="B22" s="34" t="n">
        <x:v>2000</x:v>
      </x:c>
      <x:c r="C22" s="34" t="n">
        <x:v>6500</x:v>
      </x:c>
      <x:c r="D22" s="34" t="n">
        <x:v>1</x:v>
      </x:c>
    </x:row>
    <x:row r="23" ht="15" hidden="0" customHeight="1">
      <x:c r="A23" t="str">
        <x:v>Kade Ritz</x:v>
      </x:c>
      <x:c r="B23" s="34" t="n">
        <x:v>2450</x:v>
      </x:c>
      <x:c r="C23" s="34" t="n">
        <x:v>6300</x:v>
      </x:c>
      <x:c r="D23" s="34" t="n">
        <x:v>2</x:v>
      </x:c>
    </x:row>
    <x:row r="24" ht="15" hidden="0" customHeight="1">
      <x:c r="A24" t="str">
        <x:v>Kaltvatten</x:v>
      </x:c>
      <x:c r="B24" s="34" t="n">
        <x:v>3000</x:v>
      </x:c>
      <x:c r="C24" s="34" t="n">
        <x:v>6500</x:v>
      </x:c>
      <x:c r="D24" s="34" t="n">
        <x:v>3</x:v>
      </x:c>
    </x:row>
    <x:row r="25" ht="15" hidden="0" customHeight="1">
      <x:c r="A25" t="str">
        <x:v>Mark Lee Fathom</x:v>
      </x:c>
      <x:c r="B25" s="34" t="n">
        <x:v>2400</x:v>
      </x:c>
      <x:c r="C25" s="34" t="n">
        <x:v>6500</x:v>
      </x:c>
      <x:c r="D25" s="34" t="n">
        <x:v>2</x:v>
      </x:c>
    </x:row>
    <x:row r="26" ht="15" hidden="0" customHeight="1">
      <x:c r="A26" t="str">
        <x:v>Okee</x:v>
      </x:c>
      <x:c r="B26" s="34" t="n">
        <x:v>2700</x:v>
      </x:c>
      <x:c r="C26" s="34" t="n">
        <x:v>6000</x:v>
      </x:c>
      <x:c r="D26" s="34" t="n">
        <x:v>3</x:v>
      </x:c>
    </x:row>
    <x:row r="27" ht="15" hidden="0" customHeight="1">
      <x:c r="A27" t="str">
        <x:v>Pandora the Island Eater</x:v>
      </x:c>
      <x:c r="B27" s="34" t="n">
        <x:v>2000</x:v>
      </x:c>
      <x:c r="C27" s="34" t="n">
        <x:v>6300</x:v>
      </x:c>
      <x:c r="D27" s="34" t="n">
        <x:v>1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e1056ce8074f4cf8"/>
  </x:tableParts>
</x:worksheet>
</file>