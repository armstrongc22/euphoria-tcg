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8b70c7fc244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warf Cards" sheetId="1" r:id="Rded850d959a04f9e"/>
    <x:sheet xmlns:r="http://schemas.openxmlformats.org/officeDocument/2006/relationships" name="Summary" sheetId="2" r:id="Rcd19e51bc00d495f"/>
    <x:sheet xmlns:r="http://schemas.openxmlformats.org/officeDocument/2006/relationships" name="Cost Scale" sheetId="3" r:id="R4ea869e9ada342ac"/>
    <x:sheet xmlns:r="http://schemas.openxmlformats.org/officeDocument/2006/relationships" name="Effect Keys" sheetId="4" r:id="R46e52b75051c4b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4532D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DBEAFE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90cbbffa0d4615" /><Relationship Type="http://schemas.openxmlformats.org/officeDocument/2006/relationships/theme" Target="/xl/theme/theme1.xml" Id="R99cf89d46e14495d" /><Relationship Type="http://schemas.openxmlformats.org/officeDocument/2006/relationships/sharedStrings" Target="/xl/sharedStrings.xml" Id="Ra4b191754f234b6d" /><Relationship Type="http://schemas.openxmlformats.org/officeDocument/2006/relationships/worksheet" Target="/xl/worksheets/sheet1.xml" Id="Rded850d959a04f9e" /><Relationship Type="http://schemas.openxmlformats.org/officeDocument/2006/relationships/worksheet" Target="/xl/worksheets/sheet2.xml" Id="Rcd19e51bc00d495f" /><Relationship Type="http://schemas.openxmlformats.org/officeDocument/2006/relationships/worksheet" Target="/xl/worksheets/sheet3.xml" Id="R4ea869e9ada342ac" /><Relationship Type="http://schemas.openxmlformats.org/officeDocument/2006/relationships/worksheet" Target="/xl/worksheets/sheet4.xml" Id="R46e52b75051c4b26" /></Relationships>
</file>

<file path=xl/tables/table1.xml><?xml version="1.0" encoding="utf-8"?>
<x:table xmlns:x="http://schemas.openxmlformats.org/spreadsheetml/2006/main" id="1" name="DwarfCardsTable" displayName="DwarfCardsTable" ref="A1:R20" headerRowCount="1">
  <x:tableColumns count="18">
    <x:tableColumn id="1" name="id"/>
    <x:tableColumn id="2" name="slug"/>
    <x:tableColumn id="3" name="name"/>
    <x:tableColumn id="4" name="type"/>
    <x:tableColumn id="5" name="subtype"/>
    <x:tableColumn id="6" name="faction"/>
    <x:tableColumn id="7" name="attack"/>
    <x:tableColumn id="8" name="health"/>
    <x:tableColumn id="9" name="cost"/>
    <x:tableColumn id="10" name="cost_resource"/>
    <x:tableColumn id="11" name="rules_text"/>
    <x:tableColumn id="12" name="effect_key"/>
    <x:tableColumn id="13" name="amount"/>
    <x:tableColumn id="14" name="target"/>
    <x:tableColumn id="15" name="duration"/>
    <x:tableColumn id="16" name="image_file"/>
    <x:tableColumn id="17" name="source_image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warfSummaryTable" displayName="DwarfSummaryTable" ref="A1:B9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CostScaleTable" displayName="CostScaleTable" ref="A1:E5" headerRowCount="1">
  <x:tableColumns count="5">
    <x:tableColumn id="1" name="card_type"/>
    <x:tableColumn id="2" name="attack_range_or_rule"/>
    <x:tableColumn id="3" name="cost"/>
    <x:tableColumn id="4" name="cost_resource"/>
    <x:tableColumn id="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EffectKeysTable" displayName="EffectKeysTable" ref="A1:G5" headerRowCount="1">
  <x:tableColumns count="7">
    <x:tableColumn id="1" name="effect_key"/>
    <x:tableColumn id="2" name="trigger"/>
    <x:tableColumn id="3" name="plain_english"/>
    <x:tableColumn id="4" name="target"/>
    <x:tableColumn id="5" name="amount"/>
    <x:tableColumn id="6" name="duration"/>
    <x:tableColumn id="7" name="implementation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f6da6e22c44b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dda30a1d7b4d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06df86a3dd41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1267d4d2671442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12" hidden="0" customWidth="1"/>
    <x:col min="5" max="5" width="12" hidden="0" customWidth="1"/>
    <x:col min="6" max="6" width="12" hidden="0" customWidth="1"/>
    <x:col min="7" max="7" width="10" hidden="0" customWidth="1"/>
    <x:col min="8" max="8" width="10" hidden="0" customWidth="1"/>
    <x:col min="9" max="9" width="8" hidden="0" customWidth="1"/>
    <x:col min="10" max="10" width="14" hidden="0" customWidth="1"/>
    <x:col min="11" max="11" width="44" hidden="0" customWidth="1"/>
    <x:col min="12" max="12" width="38" hidden="0" customWidth="1"/>
    <x:col min="13" max="13" width="10" hidden="0" customWidth="1"/>
    <x:col min="14" max="14" width="34" hidden="0" customWidth="1"/>
    <x:col min="15" max="15" width="14" hidden="0" customWidth="1"/>
    <x:col min="16" max="16" width="24" hidden="0" customWidth="1"/>
    <x:col min="17" max="17" width="28" hidden="0" customWidth="1"/>
    <x:col min="18" max="18" width="34" hidden="0" customWidth="1"/>
  </x:cols>
  <x:sheetData>
    <x:row r="1" ht="24" customHeight="1">
      <x:c r="A1" s="14" t="str">
        <x:v>id</x:v>
      </x:c>
      <x:c r="B1" s="14" t="str">
        <x:v>slug</x:v>
      </x:c>
      <x:c r="C1" s="14" t="str">
        <x:v>name</x:v>
      </x:c>
      <x:c r="D1" s="14" t="str">
        <x:v>type</x:v>
      </x:c>
      <x:c r="E1" s="14" t="str">
        <x:v>subtype</x:v>
      </x:c>
      <x:c r="F1" s="14" t="str">
        <x:v>faction</x:v>
      </x:c>
      <x:c r="G1" s="14" t="str">
        <x:v>attack</x:v>
      </x:c>
      <x:c r="H1" s="14" t="str">
        <x:v>health</x:v>
      </x:c>
      <x:c r="I1" s="14" t="str">
        <x:v>cost</x:v>
      </x:c>
      <x:c r="J1" s="14" t="str">
        <x:v>cost_resource</x:v>
      </x:c>
      <x:c r="K1" s="14" t="str">
        <x:v>rules_text</x:v>
      </x:c>
      <x:c r="L1" s="14" t="str">
        <x:v>effect_key</x:v>
      </x:c>
      <x:c r="M1" s="14" t="str">
        <x:v>amount</x:v>
      </x:c>
      <x:c r="N1" s="14" t="str">
        <x:v>target</x:v>
      </x:c>
      <x:c r="O1" s="14" t="str">
        <x:v>duration</x:v>
      </x:c>
      <x:c r="P1" s="14" t="str">
        <x:v>image_file</x:v>
      </x:c>
      <x:c r="Q1" s="14" t="str">
        <x:v>source_image</x:v>
      </x:c>
      <x:c r="R1" s="14" t="str">
        <x:v>notes</x:v>
      </x:c>
    </x:row>
    <x:row r="2">
      <x:c r="A2" s="15" t="str">
        <x:v>warrior_aaron_alacapati</x:v>
      </x:c>
      <x:c r="B2" s="15" t="str">
        <x:v>aaron-alacapati</x:v>
      </x:c>
      <x:c r="C2" s="15" t="str">
        <x:v>Aaron Alacapati</x:v>
      </x:c>
      <x:c r="D2" s="15" t="str">
        <x:v>warrior</x:v>
      </x:c>
      <x:c r="E2" s="15"/>
      <x:c r="F2" s="15" t="str">
        <x:v>dwarf</x:v>
      </x:c>
      <x:c r="G2" s="18" t="n">
        <x:v>2500</x:v>
      </x:c>
      <x:c r="H2" s="18" t="n">
        <x:v>6500</x:v>
      </x:c>
      <x:c r="I2" s="18" t="n">
        <x:v>2</x:v>
      </x:c>
      <x:c r="J2" s="15" t="str">
        <x:v>spirit</x:v>
      </x:c>
      <x:c r="K2" s="15"/>
      <x:c r="L2" s="15"/>
      <x:c r="M2" s="18"/>
      <x:c r="N2" s="15"/>
      <x:c r="O2" s="15"/>
      <x:c r="P2" s="15" t="str">
        <x:v>aaron-alacapati.webp</x:v>
      </x:c>
      <x:c r="Q2" s="15" t="str">
        <x:v>Aaron Alacapati(1).png</x:v>
      </x:c>
      <x:c r="R2" s="15" t="str">
        <x:v>No visible effect text; cost scaled from ATK range.</x:v>
      </x:c>
    </x:row>
    <x:row r="3">
      <x:c r="A3" s="15" t="str">
        <x:v>warrior_ajax</x:v>
      </x:c>
      <x:c r="B3" s="15" t="str">
        <x:v>ajax</x:v>
      </x:c>
      <x:c r="C3" s="15" t="str">
        <x:v>Ajax</x:v>
      </x:c>
      <x:c r="D3" s="15" t="str">
        <x:v>warrior</x:v>
      </x:c>
      <x:c r="E3" s="15"/>
      <x:c r="F3" s="15" t="str">
        <x:v>dwarf</x:v>
      </x:c>
      <x:c r="G3" s="18" t="n">
        <x:v>2500</x:v>
      </x:c>
      <x:c r="H3" s="18" t="n">
        <x:v>7500</x:v>
      </x:c>
      <x:c r="I3" s="18" t="n">
        <x:v>2</x:v>
      </x:c>
      <x:c r="J3" s="15" t="str">
        <x:v>spirit</x:v>
      </x:c>
      <x:c r="K3" s="15"/>
      <x:c r="L3" s="15"/>
      <x:c r="M3" s="18"/>
      <x:c r="N3" s="15"/>
      <x:c r="O3" s="15"/>
      <x:c r="P3" s="15" t="str">
        <x:v>ajax.webp</x:v>
      </x:c>
      <x:c r="Q3" s="15" t="str">
        <x:v>Ajax(1).png</x:v>
      </x:c>
      <x:c r="R3" s="15" t="str">
        <x:v>No visible effect text; cost scaled from ATK range.</x:v>
      </x:c>
    </x:row>
    <x:row r="4">
      <x:c r="A4" s="15" t="str">
        <x:v>attack_apex_forest</x:v>
      </x:c>
      <x:c r="B4" s="15" t="str">
        <x:v>apex-forest</x:v>
      </x:c>
      <x:c r="C4" s="15" t="str">
        <x:v>Apex Forest</x:v>
      </x:c>
      <x:c r="D4" s="15" t="str">
        <x:v>attack</x:v>
      </x:c>
      <x:c r="E4" s="15" t="str">
        <x:v>multi</x:v>
      </x:c>
      <x:c r="F4" s="15" t="str">
        <x:v>dwarf</x:v>
      </x:c>
      <x:c r="G4" s="18"/>
      <x:c r="H4" s="18"/>
      <x:c r="I4" s="18" t="n">
        <x:v>1</x:v>
      </x:c>
      <x:c r="J4" s="15" t="str">
        <x:v>spirit</x:v>
      </x:c>
      <x:c r="K4" s="15" t="str">
        <x:v>Pick one Warrior. Attack it. All other Warriors on your opponent’s side of the field take 1000 damage.</x:v>
      </x:c>
      <x:c r="L4" s="15" t="str">
        <x:v>attack_target_and_splash_enemies</x:v>
      </x:c>
      <x:c r="M4" s="18" t="n">
        <x:v>1000</x:v>
      </x:c>
      <x:c r="N4" s="15" t="str">
        <x:v>selected_opponent_warrior; other_opponent_warriors</x:v>
      </x:c>
      <x:c r="O4" s="15" t="str">
        <x:v>instant</x:v>
      </x:c>
      <x:c r="P4" s="15" t="str">
        <x:v>apex-forest.webp</x:v>
      </x:c>
      <x:c r="Q4" s="15" t="str">
        <x:v>Apex Forest(1).png</x:v>
      </x:c>
      <x:c r="R4" s="15" t="str">
        <x:v>Attack cost set to 1 Spirit per user instruction.</x:v>
      </x:c>
    </x:row>
    <x:row r="5">
      <x:c r="A5" s="15" t="str">
        <x:v>warrior_atlas_alacapati</x:v>
      </x:c>
      <x:c r="B5" s="15" t="str">
        <x:v>atlas-alacapati</x:v>
      </x:c>
      <x:c r="C5" s="15" t="str">
        <x:v>Atlas Alacapati</x:v>
      </x:c>
      <x:c r="D5" s="15" t="str">
        <x:v>warrior</x:v>
      </x:c>
      <x:c r="E5" s="15"/>
      <x:c r="F5" s="15" t="str">
        <x:v>dwarf</x:v>
      </x:c>
      <x:c r="G5" s="18" t="n">
        <x:v>3000</x:v>
      </x:c>
      <x:c r="H5" s="18" t="n">
        <x:v>7500</x:v>
      </x:c>
      <x:c r="I5" s="18" t="n">
        <x:v>3</x:v>
      </x:c>
      <x:c r="J5" s="15" t="str">
        <x:v>spirit</x:v>
      </x:c>
      <x:c r="K5" s="15"/>
      <x:c r="L5" s="15"/>
      <x:c r="M5" s="18"/>
      <x:c r="N5" s="15"/>
      <x:c r="O5" s="15"/>
      <x:c r="P5" s="15" t="str">
        <x:v>atlas-alacapati.webp</x:v>
      </x:c>
      <x:c r="Q5" s="15" t="str">
        <x:v>Atlas Alacapati(1).png</x:v>
      </x:c>
      <x:c r="R5" s="15" t="str">
        <x:v>No visible effect text; cost scaled from ATK range.</x:v>
      </x:c>
    </x:row>
    <x:row r="6">
      <x:c r="A6" s="15" t="str">
        <x:v>warrior_bliss_valentine</x:v>
      </x:c>
      <x:c r="B6" s="15" t="str">
        <x:v>bliss-valentine</x:v>
      </x:c>
      <x:c r="C6" s="15" t="str">
        <x:v>Bliss Valentine</x:v>
      </x:c>
      <x:c r="D6" s="15" t="str">
        <x:v>warrior</x:v>
      </x:c>
      <x:c r="E6" s="15"/>
      <x:c r="F6" s="15" t="str">
        <x:v>dwarf</x:v>
      </x:c>
      <x:c r="G6" s="18" t="n">
        <x:v>2200</x:v>
      </x:c>
      <x:c r="H6" s="18" t="n">
        <x:v>6000</x:v>
      </x:c>
      <x:c r="I6" s="18" t="n">
        <x:v>1</x:v>
      </x:c>
      <x:c r="J6" s="15" t="str">
        <x:v>spirit</x:v>
      </x:c>
      <x:c r="K6" s="15"/>
      <x:c r="L6" s="15"/>
      <x:c r="M6" s="18"/>
      <x:c r="N6" s="15"/>
      <x:c r="O6" s="15"/>
      <x:c r="P6" s="15" t="str">
        <x:v>bliss-valentine.webp</x:v>
      </x:c>
      <x:c r="Q6" s="15" t="str">
        <x:v>Bliss Valentine(1).png</x:v>
      </x:c>
      <x:c r="R6" s="15" t="str">
        <x:v>No visible effect text; cost scaled from ATK range.</x:v>
      </x:c>
    </x:row>
    <x:row r="7">
      <x:c r="A7" s="15" t="str">
        <x:v>warrior_durga_highstone</x:v>
      </x:c>
      <x:c r="B7" s="15" t="str">
        <x:v>durga-highstone</x:v>
      </x:c>
      <x:c r="C7" s="15" t="str">
        <x:v>Durga Highstone</x:v>
      </x:c>
      <x:c r="D7" s="15" t="str">
        <x:v>warrior</x:v>
      </x:c>
      <x:c r="E7" s="15"/>
      <x:c r="F7" s="15" t="str">
        <x:v>dwarf</x:v>
      </x:c>
      <x:c r="G7" s="18" t="n">
        <x:v>2100</x:v>
      </x:c>
      <x:c r="H7" s="18" t="n">
        <x:v>8500</x:v>
      </x:c>
      <x:c r="I7" s="18" t="n">
        <x:v>1</x:v>
      </x:c>
      <x:c r="J7" s="15" t="str">
        <x:v>spirit</x:v>
      </x:c>
      <x:c r="K7" s="15"/>
      <x:c r="L7" s="15"/>
      <x:c r="M7" s="18"/>
      <x:c r="N7" s="15"/>
      <x:c r="O7" s="15"/>
      <x:c r="P7" s="15" t="str">
        <x:v>durga-highstone.webp</x:v>
      </x:c>
      <x:c r="Q7" s="15" t="str">
        <x:v>Durga Highstone(1).png</x:v>
      </x:c>
      <x:c r="R7" s="15" t="str">
        <x:v>No visible effect text; cost scaled from ATK range.</x:v>
      </x:c>
    </x:row>
    <x:row r="8">
      <x:c r="A8" s="15" t="str">
        <x:v>warrior_exodus_st_claire</x:v>
      </x:c>
      <x:c r="B8" s="15" t="str">
        <x:v>exodus-st-claire</x:v>
      </x:c>
      <x:c r="C8" s="15" t="str">
        <x:v>Exodus St. Claire</x:v>
      </x:c>
      <x:c r="D8" s="15" t="str">
        <x:v>warrior</x:v>
      </x:c>
      <x:c r="E8" s="15"/>
      <x:c r="F8" s="15" t="str">
        <x:v>dwarf</x:v>
      </x:c>
      <x:c r="G8" s="18" t="n">
        <x:v>2600</x:v>
      </x:c>
      <x:c r="H8" s="18" t="n">
        <x:v>7000</x:v>
      </x:c>
      <x:c r="I8" s="18" t="n">
        <x:v>3</x:v>
      </x:c>
      <x:c r="J8" s="15" t="str">
        <x:v>spirit</x:v>
      </x:c>
      <x:c r="K8" s="15"/>
      <x:c r="L8" s="15"/>
      <x:c r="M8" s="18"/>
      <x:c r="N8" s="15"/>
      <x:c r="O8" s="15"/>
      <x:c r="P8" s="15" t="str">
        <x:v>exodus-st-claire.webp</x:v>
      </x:c>
      <x:c r="Q8" s="15" t="str">
        <x:v>Exodus St. Claire(1).png</x:v>
      </x:c>
      <x:c r="R8" s="15" t="str">
        <x:v>No visible effect text; cost scaled from ATK range.</x:v>
      </x:c>
    </x:row>
    <x:row r="9">
      <x:c r="A9" s="15" t="str">
        <x:v>warrior_freight_train</x:v>
      </x:c>
      <x:c r="B9" s="15" t="str">
        <x:v>freight-train</x:v>
      </x:c>
      <x:c r="C9" s="15" t="str">
        <x:v>Freight Train</x:v>
      </x:c>
      <x:c r="D9" s="15" t="str">
        <x:v>warrior</x:v>
      </x:c>
      <x:c r="E9" s="15"/>
      <x:c r="F9" s="15" t="str">
        <x:v>dwarf</x:v>
      </x:c>
      <x:c r="G9" s="18" t="n">
        <x:v>1800</x:v>
      </x:c>
      <x:c r="H9" s="18" t="n">
        <x:v>6000</x:v>
      </x:c>
      <x:c r="I9" s="18" t="n">
        <x:v>1</x:v>
      </x:c>
      <x:c r="J9" s="15" t="str">
        <x:v>spirit</x:v>
      </x:c>
      <x:c r="K9" s="15"/>
      <x:c r="L9" s="15"/>
      <x:c r="M9" s="18"/>
      <x:c r="N9" s="15"/>
      <x:c r="O9" s="15"/>
      <x:c r="P9" s="15" t="str">
        <x:v>freight-train.webp</x:v>
      </x:c>
      <x:c r="Q9" s="15" t="str">
        <x:v>Freight Train(1).png</x:v>
      </x:c>
      <x:c r="R9" s="15" t="str">
        <x:v>No visible effect text; cost scaled from ATK range.</x:v>
      </x:c>
    </x:row>
    <x:row r="10">
      <x:c r="A10" s="15" t="str">
        <x:v>attack_guatavita</x:v>
      </x:c>
      <x:c r="B10" s="15" t="str">
        <x:v>guatavita</x:v>
      </x:c>
      <x:c r="C10" s="15" t="str">
        <x:v>Guatavita</x:v>
      </x:c>
      <x:c r="D10" s="15" t="str">
        <x:v>attack</x:v>
      </x:c>
      <x:c r="E10" s="15" t="str">
        <x:v>finisher</x:v>
      </x:c>
      <x:c r="F10" s="15" t="str">
        <x:v>dwarf</x:v>
      </x:c>
      <x:c r="G10" s="18"/>
      <x:c r="H10" s="18"/>
      <x:c r="I10" s="18" t="n">
        <x:v>1</x:v>
      </x:c>
      <x:c r="J10" s="15" t="str">
        <x:v>spirit</x:v>
      </x:c>
      <x:c r="K10" s="15" t="str">
        <x:v>Destroy 1 Warrior on your opponent’s side of the field.</x:v>
      </x:c>
      <x:c r="L10" s="15" t="str">
        <x:v>destroy_enemy_warrior</x:v>
      </x:c>
      <x:c r="M10" s="18" t="n">
        <x:v>1</x:v>
      </x:c>
      <x:c r="N10" s="15" t="str">
        <x:v>one_opponent_warrior</x:v>
      </x:c>
      <x:c r="O10" s="15" t="str">
        <x:v>instant</x:v>
      </x:c>
      <x:c r="P10" s="15" t="str">
        <x:v>guatavita.webp</x:v>
      </x:c>
      <x:c r="Q10" s="15" t="str">
        <x:v>Guatavita(2).png</x:v>
      </x:c>
      <x:c r="R10" s="15" t="str">
        <x:v>Attack cost set to 1 Spirit per user instruction.</x:v>
      </x:c>
    </x:row>
    <x:row r="11">
      <x:c r="A11" s="15" t="str">
        <x:v>warrior_gulag</x:v>
      </x:c>
      <x:c r="B11" s="15" t="str">
        <x:v>gulag</x:v>
      </x:c>
      <x:c r="C11" s="15" t="str">
        <x:v>Gulag</x:v>
      </x:c>
      <x:c r="D11" s="15" t="str">
        <x:v>warrior</x:v>
      </x:c>
      <x:c r="E11" s="15"/>
      <x:c r="F11" s="15" t="str">
        <x:v>dwarf</x:v>
      </x:c>
      <x:c r="G11" s="18" t="n">
        <x:v>2300</x:v>
      </x:c>
      <x:c r="H11" s="18" t="n">
        <x:v>6500</x:v>
      </x:c>
      <x:c r="I11" s="18" t="n">
        <x:v>2</x:v>
      </x:c>
      <x:c r="J11" s="15" t="str">
        <x:v>spirit</x:v>
      </x:c>
      <x:c r="K11" s="15"/>
      <x:c r="L11" s="15"/>
      <x:c r="M11" s="18"/>
      <x:c r="N11" s="15"/>
      <x:c r="O11" s="15"/>
      <x:c r="P11" s="15" t="str">
        <x:v>gulag.webp</x:v>
      </x:c>
      <x:c r="Q11" s="15" t="str">
        <x:v>Gulag(1).png</x:v>
      </x:c>
      <x:c r="R11" s="15" t="str">
        <x:v>No visible effect text; cost scaled from ATK range.</x:v>
      </x:c>
    </x:row>
    <x:row r="12">
      <x:c r="A12" s="15" t="str">
        <x:v>warrior_nyx_highstone</x:v>
      </x:c>
      <x:c r="B12" s="15" t="str">
        <x:v>nyx-highstone</x:v>
      </x:c>
      <x:c r="C12" s="15" t="str">
        <x:v>Nyx Highstone</x:v>
      </x:c>
      <x:c r="D12" s="15" t="str">
        <x:v>warrior</x:v>
      </x:c>
      <x:c r="E12" s="15"/>
      <x:c r="F12" s="15" t="str">
        <x:v>dwarf</x:v>
      </x:c>
      <x:c r="G12" s="18" t="n">
        <x:v>2200</x:v>
      </x:c>
      <x:c r="H12" s="18" t="n">
        <x:v>7000</x:v>
      </x:c>
      <x:c r="I12" s="18" t="n">
        <x:v>1</x:v>
      </x:c>
      <x:c r="J12" s="15" t="str">
        <x:v>spirit</x:v>
      </x:c>
      <x:c r="K12" s="15"/>
      <x:c r="L12" s="15"/>
      <x:c r="M12" s="18"/>
      <x:c r="N12" s="15"/>
      <x:c r="O12" s="15"/>
      <x:c r="P12" s="15" t="str">
        <x:v>nyx-highstone.webp</x:v>
      </x:c>
      <x:c r="Q12" s="15" t="str">
        <x:v>Nyx Highstone(1).png</x:v>
      </x:c>
      <x:c r="R12" s="15" t="str">
        <x:v>No visible effect text; cost scaled from ATK range.</x:v>
      </x:c>
    </x:row>
    <x:row r="13">
      <x:c r="A13" s="15" t="str">
        <x:v>attack_oak_splitter_5x</x:v>
      </x:c>
      <x:c r="B13" s="15" t="str">
        <x:v>oak-splitter-5x</x:v>
      </x:c>
      <x:c r="C13" s="15" t="str">
        <x:v>Oak Splitter 5x</x:v>
      </x:c>
      <x:c r="D13" s="15" t="str">
        <x:v>attack</x:v>
      </x:c>
      <x:c r="E13" s="15" t="str">
        <x:v>burst</x:v>
      </x:c>
      <x:c r="F13" s="15" t="str">
        <x:v>dwarf</x:v>
      </x:c>
      <x:c r="G13" s="18"/>
      <x:c r="H13" s="18"/>
      <x:c r="I13" s="18" t="n">
        <x:v>1</x:v>
      </x:c>
      <x:c r="J13" s="15" t="str">
        <x:v>spirit</x:v>
      </x:c>
      <x:c r="K13" s="15" t="str">
        <x:v>Add 2000 damage this turn</x:v>
      </x:c>
      <x:c r="L13" s="15" t="str">
        <x:v>add_damage_this_turn</x:v>
      </x:c>
      <x:c r="M13" s="18" t="n">
        <x:v>2000</x:v>
      </x:c>
      <x:c r="N13" s="15" t="str">
        <x:v>self_damage_bonus</x:v>
      </x:c>
      <x:c r="O13" s="15" t="str">
        <x:v>this_turn</x:v>
      </x:c>
      <x:c r="P13" s="15" t="str">
        <x:v>oak-splitter-5x.webp</x:v>
      </x:c>
      <x:c r="Q13" s="15" t="str">
        <x:v>Oak Splitter 5x(1).png</x:v>
      </x:c>
      <x:c r="R13" s="15" t="str">
        <x:v>Attack cost set to 1 Spirit per user instruction.</x:v>
      </x:c>
    </x:row>
    <x:row r="14">
      <x:c r="A14" s="15" t="str">
        <x:v>warrior_prosperity</x:v>
      </x:c>
      <x:c r="B14" s="15" t="str">
        <x:v>prosperity</x:v>
      </x:c>
      <x:c r="C14" s="15" t="str">
        <x:v>Prosperity</x:v>
      </x:c>
      <x:c r="D14" s="15" t="str">
        <x:v>warrior</x:v>
      </x:c>
      <x:c r="E14" s="15"/>
      <x:c r="F14" s="15" t="str">
        <x:v>dwarf</x:v>
      </x:c>
      <x:c r="G14" s="18" t="n">
        <x:v>2200</x:v>
      </x:c>
      <x:c r="H14" s="18" t="n">
        <x:v>6500</x:v>
      </x:c>
      <x:c r="I14" s="18" t="n">
        <x:v>1</x:v>
      </x:c>
      <x:c r="J14" s="15" t="str">
        <x:v>spirit</x:v>
      </x:c>
      <x:c r="K14" s="15"/>
      <x:c r="L14" s="15"/>
      <x:c r="M14" s="18"/>
      <x:c r="N14" s="15"/>
      <x:c r="O14" s="15"/>
      <x:c r="P14" s="15" t="str">
        <x:v>prosperity.webp</x:v>
      </x:c>
      <x:c r="Q14" s="15" t="str">
        <x:v>Prosperity(1).png</x:v>
      </x:c>
      <x:c r="R14" s="15" t="str">
        <x:v>No visible effect text; cost scaled from ATK range.</x:v>
      </x:c>
    </x:row>
    <x:row r="15">
      <x:c r="A15" s="15" t="str">
        <x:v>attack_silurian_period</x:v>
      </x:c>
      <x:c r="B15" s="15" t="str">
        <x:v>silurian-period</x:v>
      </x:c>
      <x:c r="C15" s="15" t="str">
        <x:v>Silurian Period</x:v>
      </x:c>
      <x:c r="D15" s="15" t="str">
        <x:v>attack</x:v>
      </x:c>
      <x:c r="E15" s="15" t="str">
        <x:v>lingering</x:v>
      </x:c>
      <x:c r="F15" s="15" t="str">
        <x:v>dwarf</x:v>
      </x:c>
      <x:c r="G15" s="18"/>
      <x:c r="H15" s="18"/>
      <x:c r="I15" s="18" t="n">
        <x:v>1</x:v>
      </x:c>
      <x:c r="J15" s="15" t="str">
        <x:v>spirit</x:v>
      </x:c>
      <x:c r="K15" s="15" t="str">
        <x:v>Deal 500 damage to each of your opponent’s Warriors that were on the field when this card was played, for the next 4 turns.</x:v>
      </x:c>
      <x:c r="L15" s="15" t="str">
        <x:v>lingering_damage_existing_enemy_warriors</x:v>
      </x:c>
      <x:c r="M15" s="18" t="n">
        <x:v>500</x:v>
      </x:c>
      <x:c r="N15" s="15" t="str">
        <x:v>opponent_warriors_on_field_when_played</x:v>
      </x:c>
      <x:c r="O15" s="15" t="str">
        <x:v>4_turns</x:v>
      </x:c>
      <x:c r="P15" s="15" t="str">
        <x:v>silurian-period.webp</x:v>
      </x:c>
      <x:c r="Q15" s="15" t="str">
        <x:v>Silurian Period(2).png</x:v>
      </x:c>
      <x:c r="R15" s="15" t="str">
        <x:v>Attack cost set to 1 Spirit per user instruction.</x:v>
      </x:c>
    </x:row>
    <x:row r="16">
      <x:c r="A16" s="15" t="str">
        <x:v>warrior_the_terra_twins</x:v>
      </x:c>
      <x:c r="B16" s="15" t="str">
        <x:v>the-terra-twins</x:v>
      </x:c>
      <x:c r="C16" s="15" t="str">
        <x:v>The Terra Twins</x:v>
      </x:c>
      <x:c r="D16" s="15" t="str">
        <x:v>warrior</x:v>
      </x:c>
      <x:c r="E16" s="15"/>
      <x:c r="F16" s="15" t="str">
        <x:v>dwarf</x:v>
      </x:c>
      <x:c r="G16" s="18" t="n">
        <x:v>2100</x:v>
      </x:c>
      <x:c r="H16" s="18" t="n">
        <x:v>7500</x:v>
      </x:c>
      <x:c r="I16" s="18" t="n">
        <x:v>1</x:v>
      </x:c>
      <x:c r="J16" s="15" t="str">
        <x:v>spirit</x:v>
      </x:c>
      <x:c r="K16" s="15"/>
      <x:c r="L16" s="15"/>
      <x:c r="M16" s="18"/>
      <x:c r="N16" s="15"/>
      <x:c r="O16" s="15"/>
      <x:c r="P16" s="15" t="str">
        <x:v>the-terra-twins.webp</x:v>
      </x:c>
      <x:c r="Q16" s="15" t="str">
        <x:v>The Terra Twins(1).png</x:v>
      </x:c>
      <x:c r="R16" s="15" t="str">
        <x:v>No visible effect text; cost scaled from ATK range.</x:v>
      </x:c>
    </x:row>
    <x:row r="17">
      <x:c r="A17" s="15" t="str">
        <x:v>warrior_titan</x:v>
      </x:c>
      <x:c r="B17" s="15" t="str">
        <x:v>titan</x:v>
      </x:c>
      <x:c r="C17" s="15" t="str">
        <x:v>Titan</x:v>
      </x:c>
      <x:c r="D17" s="15" t="str">
        <x:v>warrior</x:v>
      </x:c>
      <x:c r="E17" s="15"/>
      <x:c r="F17" s="15" t="str">
        <x:v>dwarf</x:v>
      </x:c>
      <x:c r="G17" s="18" t="n">
        <x:v>2400</x:v>
      </x:c>
      <x:c r="H17" s="18" t="n">
        <x:v>7500</x:v>
      </x:c>
      <x:c r="I17" s="18" t="n">
        <x:v>2</x:v>
      </x:c>
      <x:c r="J17" s="15" t="str">
        <x:v>spirit</x:v>
      </x:c>
      <x:c r="K17" s="15"/>
      <x:c r="L17" s="15"/>
      <x:c r="M17" s="18"/>
      <x:c r="N17" s="15"/>
      <x:c r="O17" s="15"/>
      <x:c r="P17" s="15" t="str">
        <x:v>titan.webp</x:v>
      </x:c>
      <x:c r="Q17" s="15" t="str">
        <x:v>Titan(1).png</x:v>
      </x:c>
      <x:c r="R17" s="15" t="str">
        <x:v>No visible effect text; cost scaled from ATK range.</x:v>
      </x:c>
    </x:row>
    <x:row r="18">
      <x:c r="A18" s="15" t="str">
        <x:v>warrior_troy_chasm</x:v>
      </x:c>
      <x:c r="B18" s="15" t="str">
        <x:v>troy-chasm</x:v>
      </x:c>
      <x:c r="C18" s="15" t="str">
        <x:v>Troy Chasm</x:v>
      </x:c>
      <x:c r="D18" s="15" t="str">
        <x:v>warrior</x:v>
      </x:c>
      <x:c r="E18" s="15"/>
      <x:c r="F18" s="15" t="str">
        <x:v>dwarf</x:v>
      </x:c>
      <x:c r="G18" s="18" t="n">
        <x:v>2000</x:v>
      </x:c>
      <x:c r="H18" s="18" t="n">
        <x:v>6500</x:v>
      </x:c>
      <x:c r="I18" s="18" t="n">
        <x:v>1</x:v>
      </x:c>
      <x:c r="J18" s="15" t="str">
        <x:v>spirit</x:v>
      </x:c>
      <x:c r="K18" s="15"/>
      <x:c r="L18" s="15"/>
      <x:c r="M18" s="18"/>
      <x:c r="N18" s="15"/>
      <x:c r="O18" s="15"/>
      <x:c r="P18" s="15" t="str">
        <x:v>troy-chasm.webp</x:v>
      </x:c>
      <x:c r="Q18" s="15" t="str">
        <x:v>Troy Chasm(1).png</x:v>
      </x:c>
      <x:c r="R18" s="15" t="str">
        <x:v>No visible effect text; cost scaled from ATK range.</x:v>
      </x:c>
    </x:row>
    <x:row r="19">
      <x:c r="A19" s="15" t="str">
        <x:v>warrior_tun_centree</x:v>
      </x:c>
      <x:c r="B19" s="15" t="str">
        <x:v>tun-centree</x:v>
      </x:c>
      <x:c r="C19" s="15" t="str">
        <x:v>Tun Centree</x:v>
      </x:c>
      <x:c r="D19" s="15" t="str">
        <x:v>warrior</x:v>
      </x:c>
      <x:c r="E19" s="15"/>
      <x:c r="F19" s="15" t="str">
        <x:v>dwarf</x:v>
      </x:c>
      <x:c r="G19" s="18" t="n">
        <x:v>2500</x:v>
      </x:c>
      <x:c r="H19" s="18" t="n">
        <x:v>7000</x:v>
      </x:c>
      <x:c r="I19" s="18" t="n">
        <x:v>2</x:v>
      </x:c>
      <x:c r="J19" s="15" t="str">
        <x:v>spirit</x:v>
      </x:c>
      <x:c r="K19" s="15"/>
      <x:c r="L19" s="15"/>
      <x:c r="M19" s="18"/>
      <x:c r="N19" s="15"/>
      <x:c r="O19" s="15"/>
      <x:c r="P19" s="15" t="str">
        <x:v>tun-centree.webp</x:v>
      </x:c>
      <x:c r="Q19" s="15" t="str">
        <x:v>Tun Centree(1).png</x:v>
      </x:c>
      <x:c r="R19" s="15" t="str">
        <x:v>No visible effect text; cost scaled from ATK range.</x:v>
      </x:c>
    </x:row>
    <x:row r="20">
      <x:c r="A20" s="15" t="str">
        <x:v>warrior_invictius_durango</x:v>
      </x:c>
      <x:c r="B20" s="15" t="str">
        <x:v>invictius-durango</x:v>
      </x:c>
      <x:c r="C20" s="15" t="str">
        <x:v>“Invictius” Durango</x:v>
      </x:c>
      <x:c r="D20" s="15" t="str">
        <x:v>warrior</x:v>
      </x:c>
      <x:c r="E20" s="15"/>
      <x:c r="F20" s="15" t="str">
        <x:v>dwarf</x:v>
      </x:c>
      <x:c r="G20" s="18" t="n">
        <x:v>2600</x:v>
      </x:c>
      <x:c r="H20" s="18" t="n">
        <x:v>6600</x:v>
      </x:c>
      <x:c r="I20" s="18" t="n">
        <x:v>3</x:v>
      </x:c>
      <x:c r="J20" s="15" t="str">
        <x:v>spirit</x:v>
      </x:c>
      <x:c r="K20" s="15"/>
      <x:c r="L20" s="15"/>
      <x:c r="M20" s="18"/>
      <x:c r="N20" s="15"/>
      <x:c r="O20" s="15"/>
      <x:c r="P20" s="15" t="str">
        <x:v>invictius-durango.webp</x:v>
      </x:c>
      <x:c r="Q20" s="15" t="str">
        <x:v>“Invictius” Durango(1).png</x:v>
      </x:c>
      <x:c r="R20" s="15" t="str">
        <x:v>No visible effect text; cost scaled from ATK range.</x:v>
      </x:c>
    </x:row>
  </x:sheetData>
  <x:conditionalFormatting sqref="I2:I20">
    <x:cfRule type="colorScale" priority="1">
      <x:colorScale>
        <x:cfvo type="min"/>
        <x:cfvo type="percentile" val="50"/>
        <x:cfvo type="max"/>
        <x:color rgb="DCFCE7"/>
        <x:color rgb="FEF3C7"/>
        <x:color rgb="FCA5A5"/>
      </x:colorScale>
    </x:cfRule>
  </x:conditionalFormatting>
  <x:conditionalFormatting sqref="D2:D20">
    <x:cfRule type="expression" dxfId="0" priority="2">
      <x:formula>$D2="attack"</x:formula>
    </x:cfRule>
    <x:cfRule type="expression" dxfId="1" priority="3">
      <x:formula>$D2="warrior"</x:formula>
    </x:cfRule>
  </x:conditionalFormatting>
  <x:dataValidations count="3">
    <x:dataValidation type="list" sqref="D2:D200">
      <x:formula1>"warrior,attack,item,weapon,field"</x:formula1>
    </x:dataValidation>
    <x:dataValidation type="list" sqref="F2:F200">
      <x:formula1>"dwarf,monk,surfer,shaman,sonic,neutral"</x:formula1>
    </x:dataValidation>
    <x:dataValidation type="list" sqref="J2:J200">
      <x:formula1>"spirit,aura,none"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f6da6e22c44bd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4" customHeight="1">
      <x:c r="A1" s="10" t="str">
        <x:v>Metric</x:v>
      </x:c>
      <x:c r="B1" s="10" t="str">
        <x:v>Value</x:v>
      </x:c>
      <x:c r="D1" s="5" t="str">
        <x:v>Build Notes</x:v>
      </x:c>
      <x:c r="E1" s="5"/>
      <x:c r="F1" s="5"/>
    </x:row>
    <x:row r="2">
      <x:c r="A2" s="11" t="str">
        <x:v>Total cards</x:v>
      </x:c>
      <x:c r="B2" s="20" t="n">
        <x:f>COUNTA('Dwarf Cards'!C2:C20)</x:f>
        <x:v>19</x:v>
      </x:c>
      <x:c r="D2" s="11" t="str">
        <x:v>Costs were recalculated for this beta sheet. Existing spreadsheet costs were ignored. Warrior costs are based only on ATK range. All Dwarf attack cards are set to 1 Spirit. Blank cells are intentional for fields that do not apply to a card type.</x:v>
      </x:c>
      <x:c r="E2" s="11"/>
      <x:c r="F2" s="11"/>
    </x:row>
    <x:row r="3">
      <x:c r="A3" s="11" t="str">
        <x:v>Warriors</x:v>
      </x:c>
      <x:c r="B3" s="20" t="n">
        <x:f>COUNTIF('Dwarf Cards'!D2:D20,"warrior")</x:f>
        <x:v>15</x:v>
      </x:c>
      <x:c r="D3" s="11"/>
      <x:c r="E3" s="11"/>
      <x:c r="F3" s="11"/>
    </x:row>
    <x:row r="4">
      <x:c r="A4" s="11" t="str">
        <x:v>Attack cards</x:v>
      </x:c>
      <x:c r="B4" s="20" t="n">
        <x:f>COUNTIF('Dwarf Cards'!D2:D20,"attack")</x:f>
        <x:v>4</x:v>
      </x:c>
      <x:c r="D4" s="11"/>
      <x:c r="E4" s="11"/>
      <x:c r="F4" s="11"/>
    </x:row>
    <x:row r="5">
      <x:c r="A5" s="11" t="str">
        <x:v>Average Warrior ATK</x:v>
      </x:c>
      <x:c r="B5" s="20" t="n">
        <x:f>ROUND(AVERAGEIF('Dwarf Cards'!D2:D20,"warrior",'Dwarf Cards'!G2:G20),0)</x:f>
        <x:v>2333</x:v>
      </x:c>
      <x:c r="D5" s="11"/>
      <x:c r="E5" s="11"/>
      <x:c r="F5" s="11"/>
    </x:row>
    <x:row r="6">
      <x:c r="A6" s="11" t="str">
        <x:v>Average Warrior Health</x:v>
      </x:c>
      <x:c r="B6" s="20" t="n">
        <x:f>ROUND(AVERAGEIF('Dwarf Cards'!D2:D20,"warrior",'Dwarf Cards'!H2:H20),0)</x:f>
        <x:v>6940</x:v>
      </x:c>
      <x:c r="D6" s="11"/>
      <x:c r="E6" s="11"/>
      <x:c r="F6" s="11"/>
    </x:row>
    <x:row r="7">
      <x:c r="A7" s="11" t="str">
        <x:v>Cost 1 cards</x:v>
      </x:c>
      <x:c r="B7" s="20" t="n">
        <x:f>COUNTIF('Dwarf Cards'!I2:I20,1)</x:f>
        <x:v>11</x:v>
      </x:c>
    </x:row>
    <x:row r="8">
      <x:c r="A8" s="11" t="str">
        <x:v>Cost 2 cards</x:v>
      </x:c>
      <x:c r="B8" s="20" t="n">
        <x:f>COUNTIF('Dwarf Cards'!I2:I20,2)</x:f>
        <x:v>5</x:v>
      </x:c>
    </x:row>
    <x:row r="9">
      <x:c r="A9" s="11" t="str">
        <x:v>Cost 3 cards</x:v>
      </x:c>
      <x:c r="B9" s="20" t="n">
        <x:f>COUNTIF('Dwarf Cards'!I2:I20,3)</x:f>
        <x:v>3</x:v>
      </x:c>
    </x:row>
  </x:sheetData>
  <x:mergeCells>
    <x:mergeCell ref="D1:F1"/>
    <x:mergeCell ref="D2:F6"/>
  </x:mergeCells>
  <x:pageMargins left="0.7" right="0.7" top="0.75" bottom="0.75" header="0.3" footer="0.3"/>
  <x:tableParts count="1">
    <x:tablePart xmlns:r="http://schemas.openxmlformats.org/officeDocument/2006/relationships" r:id="R7edda30a1d7b4d7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6" hidden="0" customWidth="1"/>
  </x:cols>
  <x:sheetData>
    <x:row r="1" ht="24" customHeight="1">
      <x:c r="A1" s="10" t="str">
        <x:v>card_type</x:v>
      </x:c>
      <x:c r="B1" s="10" t="str">
        <x:v>attack_range_or_rule</x:v>
      </x:c>
      <x:c r="C1" s="10" t="str">
        <x:v>cost</x:v>
      </x:c>
      <x:c r="D1" s="10" t="str">
        <x:v>cost_resource</x:v>
      </x:c>
      <x:c r="E1" s="10" t="str">
        <x:v>notes</x:v>
      </x:c>
    </x:row>
    <x:row r="2">
      <x:c r="A2" s="11" t="str">
        <x:v>warrior</x:v>
      </x:c>
      <x:c r="B2" s="11" t="str">
        <x:v>ATK &lt;= 2200</x:v>
      </x:c>
      <x:c r="C2" s="11" t="n">
        <x:v>1</x:v>
      </x:c>
      <x:c r="D2" s="11" t="str">
        <x:v>spirit</x:v>
      </x:c>
      <x:c r="E2" s="11" t="str">
        <x:v>Low attack tier. Health/effects not included in this first pass.</x:v>
      </x:c>
    </x:row>
    <x:row r="3">
      <x:c r="A3" s="11" t="str">
        <x:v>warrior</x:v>
      </x:c>
      <x:c r="B3" s="11" t="str">
        <x:v>ATK 2300-2500</x:v>
      </x:c>
      <x:c r="C3" s="11" t="n">
        <x:v>2</x:v>
      </x:c>
      <x:c r="D3" s="11" t="str">
        <x:v>spirit</x:v>
      </x:c>
      <x:c r="E3" s="11" t="str">
        <x:v>Middle attack tier.</x:v>
      </x:c>
    </x:row>
    <x:row r="4">
      <x:c r="A4" s="11" t="str">
        <x:v>warrior</x:v>
      </x:c>
      <x:c r="B4" s="11" t="str">
        <x:v>ATK &gt;= 2600</x:v>
      </x:c>
      <x:c r="C4" s="11" t="n">
        <x:v>3</x:v>
      </x:c>
      <x:c r="D4" s="11" t="str">
        <x:v>spirit</x:v>
      </x:c>
      <x:c r="E4" s="11" t="str">
        <x:v>High attack tier.</x:v>
      </x:c>
    </x:row>
    <x:row r="5">
      <x:c r="A5" s="11" t="str">
        <x:v>attack</x:v>
      </x:c>
      <x:c r="B5" s="11" t="str">
        <x:v>Any attack card</x:v>
      </x:c>
      <x:c r="C5" s="11" t="n">
        <x:v>1</x:v>
      </x:c>
      <x:c r="D5" s="11" t="str">
        <x:v>spirit</x:v>
      </x:c>
      <x:c r="E5" s="11" t="str">
        <x:v>User instruction: all attack cards cost 1 Spirit.</x:v>
      </x:c>
    </x:row>
  </x:sheetData>
  <x:pageMargins left="0.7" right="0.7" top="0.75" bottom="0.75" header="0.3" footer="0.3"/>
  <x:tableParts count="1">
    <x:tablePart xmlns:r="http://schemas.openxmlformats.org/officeDocument/2006/relationships" r:id="R7106df86a3dd413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46" hidden="0" customWidth="1"/>
    <x:col min="4" max="4" width="36" hidden="0" customWidth="1"/>
    <x:col min="5" max="5" width="10" hidden="0" customWidth="1"/>
    <x:col min="6" max="6" width="16" hidden="0" customWidth="1"/>
    <x:col min="7" max="7" width="52" hidden="0" customWidth="1"/>
  </x:cols>
  <x:sheetData>
    <x:row r="1" ht="24" customHeight="1">
      <x:c r="A1" s="10" t="str">
        <x:v>effect_key</x:v>
      </x:c>
      <x:c r="B1" s="10" t="str">
        <x:v>trigger</x:v>
      </x:c>
      <x:c r="C1" s="10" t="str">
        <x:v>plain_english</x:v>
      </x:c>
      <x:c r="D1" s="10" t="str">
        <x:v>target</x:v>
      </x:c>
      <x:c r="E1" s="10" t="str">
        <x:v>amount</x:v>
      </x:c>
      <x:c r="F1" s="10" t="str">
        <x:v>duration</x:v>
      </x:c>
      <x:c r="G1" s="10" t="str">
        <x:v>implementation_notes</x:v>
      </x:c>
    </x:row>
    <x:row r="2">
      <x:c r="A2" t="str">
        <x:v>attack_target_and_splash_enemies</x:v>
      </x:c>
      <x:c r="B2" t="str">
        <x:v>onPlay</x:v>
      </x:c>
      <x:c r="C2" t="str">
        <x:v>Attack one selected Warrior; all other opposing Warriors take splash damage.</x:v>
      </x:c>
      <x:c r="D2" t="str">
        <x:v>selected_opponent_warrior; other_opponent_warriors</x:v>
      </x:c>
      <x:c r="E2" t="n">
        <x:v>1000</x:v>
      </x:c>
      <x:c r="F2" t="str">
        <x:v>instant</x:v>
      </x:c>
      <x:c r="G2" t="str">
        <x:v>Apex Forest. Needs engine support for selected target plus secondary board-wide damage.</x:v>
      </x:c>
    </x:row>
    <x:row r="3">
      <x:c r="A3" t="str">
        <x:v>destroy_enemy_warrior</x:v>
      </x:c>
      <x:c r="B3" t="str">
        <x:v>onPlay</x:v>
      </x:c>
      <x:c r="C3" t="str">
        <x:v>Destroy one Warrior on opponent’s side of the field.</x:v>
      </x:c>
      <x:c r="D3" t="str">
        <x:v>one_opponent_warrior</x:v>
      </x:c>
      <x:c r="E3" t="n">
        <x:v>1</x:v>
      </x:c>
      <x:c r="F3" t="str">
        <x:v>instant</x:v>
      </x:c>
      <x:c r="G3" t="str">
        <x:v>Guatavita. Needs destroy/removal action and target validation.</x:v>
      </x:c>
    </x:row>
    <x:row r="4">
      <x:c r="A4" t="str">
        <x:v>add_damage_this_turn</x:v>
      </x:c>
      <x:c r="B4" t="str">
        <x:v>onPlay</x:v>
      </x:c>
      <x:c r="C4" t="str">
        <x:v>Add bonus damage during this turn.</x:v>
      </x:c>
      <x:c r="D4" t="str">
        <x:v>self_damage_bonus</x:v>
      </x:c>
      <x:c r="E4" t="n">
        <x:v>2000</x:v>
      </x:c>
      <x:c r="F4" t="str">
        <x:v>this_turn</x:v>
      </x:c>
      <x:c r="G4" t="str">
        <x:v>Oak Splitter 5x. Clarify whether this applies to one attack or every attack this turn.</x:v>
      </x:c>
    </x:row>
    <x:row r="5">
      <x:c r="A5" t="str">
        <x:v>lingering_damage_existing_enemy_warriors</x:v>
      </x:c>
      <x:c r="B5" t="str">
        <x:v>onPlay + turnTick</x:v>
      </x:c>
      <x:c r="C5" t="str">
        <x:v>Deal damage each turn to enemy Warriors that were present when played.</x:v>
      </x:c>
      <x:c r="D5" t="str">
        <x:v>opponent_warriors_on_field_when_played</x:v>
      </x:c>
      <x:c r="E5" t="n">
        <x:v>500</x:v>
      </x:c>
      <x:c r="F5" t="str">
        <x:v>4_turns</x:v>
      </x:c>
      <x:c r="G5" t="str">
        <x:v>Silurian Period. Needs tracking of affected card IDs at play time.</x:v>
      </x:c>
    </x:row>
  </x:sheetData>
  <x:pageMargins left="0.7" right="0.7" top="0.75" bottom="0.75" header="0.3" footer="0.3"/>
  <x:tableParts count="1">
    <x:tablePart xmlns:r="http://schemas.openxmlformats.org/officeDocument/2006/relationships" r:id="Ra1267d4d26714421"/>
  </x:tableParts>
</x:worksheet>
</file>