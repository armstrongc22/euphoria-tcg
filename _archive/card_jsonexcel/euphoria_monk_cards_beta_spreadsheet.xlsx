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fb79c6b2e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k Cards" sheetId="1" r:id="Rc675733877f64e94"/>
    <x:sheet xmlns:r="http://schemas.openxmlformats.org/officeDocument/2006/relationships" name="Cost Scale" sheetId="2" r:id="R30cfcca0004d4932"/>
    <x:sheet xmlns:r="http://schemas.openxmlformats.org/officeDocument/2006/relationships" name="Effect Keys" sheetId="3" r:id="Rf5f298c58c134717"/>
    <x:sheet xmlns:r="http://schemas.openxmlformats.org/officeDocument/2006/relationships" name="Summary" sheetId="4" r:id="Rbbd5aaf9294b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450A0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F1D1D"/>
      </x:patternFill>
    </x:fill>
    <x:fill>
      <x:patternFill patternType="solid">
        <x:fgColor rgb="FEE2E2"/>
      </x:patternFill>
    </x:fill>
    <x:fill>
      <x:patternFill patternType="solid">
        <x:fgColor rgb="991B1B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53a6a18014c0e" /><Relationship Type="http://schemas.openxmlformats.org/officeDocument/2006/relationships/theme" Target="/xl/theme/theme1.xml" Id="Rd1d88d56f6174b7b" /><Relationship Type="http://schemas.openxmlformats.org/officeDocument/2006/relationships/sharedStrings" Target="/xl/sharedStrings.xml" Id="R49645a468f384bc9" /><Relationship Type="http://schemas.openxmlformats.org/officeDocument/2006/relationships/worksheet" Target="/xl/worksheets/sheet1.xml" Id="Rc675733877f64e94" /><Relationship Type="http://schemas.openxmlformats.org/officeDocument/2006/relationships/worksheet" Target="/xl/worksheets/sheet2.xml" Id="R30cfcca0004d4932" /><Relationship Type="http://schemas.openxmlformats.org/officeDocument/2006/relationships/worksheet" Target="/xl/worksheets/sheet3.xml" Id="Rf5f298c58c134717" /><Relationship Type="http://schemas.openxmlformats.org/officeDocument/2006/relationships/worksheet" Target="/xl/worksheets/sheet4.xml" Id="Rbbd5aaf9294b400e" /></Relationships>
</file>

<file path=xl/tables/table1.xml><?xml version="1.0" encoding="utf-8"?>
<x:table xmlns:x="http://schemas.openxmlformats.org/spreadsheetml/2006/main" id="1" name="MonkCardsTable" displayName="MonkCardsTable" ref="A4:S23" headerRowCount="1">
  <x:tableColumns count="19">
    <x:tableColumn id="1" name="id"/>
    <x:tableColumn id="2" name="slug"/>
    <x:tableColumn id="3" name="name"/>
    <x:tableColumn id="4" name="faction"/>
    <x:tableColumn id="5" name="color"/>
    <x:tableColumn id="6" name="type"/>
    <x:tableColumn id="7" name="subtype"/>
    <x:tableColumn id="8" name="spirit_cost"/>
    <x:tableColumn id="9" name="attack"/>
    <x:tableColumn id="10" name="health"/>
    <x:tableColumn id="11" name="rules_text"/>
    <x:tableColumn id="12" name="effect_key"/>
    <x:tableColumn id="13" name="amount"/>
    <x:tableColumn id="14" name="target"/>
    <x:tableColumn id="15" name="duration"/>
    <x:tableColumn id="16" name="image_file"/>
    <x:tableColumn id="17" name="source_file"/>
    <x:tableColumn id="18" name="cost_basis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onkCostScaleTable" displayName="MonkCostScaleTable" ref="A1:D5" headerRowCount="1">
  <x:tableColumns count="4">
    <x:tableColumn id="1" name="Cost Rule"/>
    <x:tableColumn id="2" name="Condition"/>
    <x:tableColumn id="3" name="Spirit Cost"/>
    <x:tableColumn id="4" name="Applies To"/>
  </x:tableColumns>
  <x:tableStyleInfo name="TableStyleMedium2" showRowStripes="1"/>
</x:table>
</file>

<file path=xl/tables/table3.xml><?xml version="1.0" encoding="utf-8"?>
<x:table xmlns:x="http://schemas.openxmlformats.org/spreadsheetml/2006/main" id="3" name="MonkEffectKeysTable" displayName="MonkEffectKeysTable" ref="A1:E4" headerRowCount="1">
  <x:tableColumns count="5">
    <x:tableColumn id="1" name="effect_key"/>
    <x:tableColumn id="2" name="plain_english"/>
    <x:tableColumn id="3" name="default_target"/>
    <x:tableColumn id="4" name="default_duration"/>
    <x:tableColumn id="5" name="implementation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10afa41bd143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8aef51d803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663aa60f9449c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10" hidden="0" customWidth="1"/>
    <x:col min="10" max="10" width="10" hidden="0" customWidth="1"/>
    <x:col min="11" max="11" width="42" hidden="0" customWidth="1"/>
    <x:col min="12" max="12" width="34" hidden="0" customWidth="1"/>
    <x:col min="13" max="13" width="15" hidden="0" customWidth="1"/>
    <x:col min="14" max="14" width="24" hidden="0" customWidth="1"/>
    <x:col min="15" max="15" width="22" hidden="0" customWidth="1"/>
    <x:col min="16" max="16" width="28" hidden="0" customWidth="1"/>
    <x:col min="17" max="17" width="28" hidden="0" customWidth="1"/>
    <x:col min="18" max="18" width="22" hidden="0" customWidth="1"/>
    <x:col min="19" max="19" width="44" hidden="0" customWidth="1"/>
  </x:cols>
  <x:sheetData>
    <x:row r="1" ht="28" customHeight="1">
      <x:c r="A1" s="5" t="str">
        <x:v>Euphoria TCG — Monk Cards Beta Spreadsheet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</x:row>
    <x:row r="2" ht="22" customHeight="1">
      <x:c r="A2" s="13" t="str">
        <x:v>Generated from uploaded Monk card images. Warrior costs are scaled by ATK range; all Attack cards cost 1 Spirit.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</x:row>
    <x:row r="4" ht="30" customHeight="1">
      <x:c r="A4" s="22" t="str">
        <x:v>id</x:v>
      </x:c>
      <x:c r="B4" s="22" t="str">
        <x:v>slug</x:v>
      </x:c>
      <x:c r="C4" s="22" t="str">
        <x:v>name</x:v>
      </x:c>
      <x:c r="D4" s="22" t="str">
        <x:v>faction</x:v>
      </x:c>
      <x:c r="E4" s="22" t="str">
        <x:v>color</x:v>
      </x:c>
      <x:c r="F4" s="22" t="str">
        <x:v>type</x:v>
      </x:c>
      <x:c r="G4" s="22" t="str">
        <x:v>subtype</x:v>
      </x:c>
      <x:c r="H4" s="22" t="str">
        <x:v>spirit_cost</x:v>
      </x:c>
      <x:c r="I4" s="22" t="str">
        <x:v>attack</x:v>
      </x:c>
      <x:c r="J4" s="22" t="str">
        <x:v>health</x:v>
      </x:c>
      <x:c r="K4" s="22" t="str">
        <x:v>rules_text</x:v>
      </x:c>
      <x:c r="L4" s="22" t="str">
        <x:v>effect_key</x:v>
      </x:c>
      <x:c r="M4" s="22" t="str">
        <x:v>amount</x:v>
      </x:c>
      <x:c r="N4" s="22" t="str">
        <x:v>target</x:v>
      </x:c>
      <x:c r="O4" s="22" t="str">
        <x:v>duration</x:v>
      </x:c>
      <x:c r="P4" s="22" t="str">
        <x:v>image_file</x:v>
      </x:c>
      <x:c r="Q4" s="22" t="str">
        <x:v>source_file</x:v>
      </x:c>
      <x:c r="R4" s="22" t="str">
        <x:v>cost_basis</x:v>
      </x:c>
      <x:c r="S4" s="22" t="str">
        <x:v>notes</x:v>
      </x:c>
    </x:row>
    <x:row r="5">
      <x:c r="A5" s="29" t="str">
        <x:v>attack_7th-plague</x:v>
      </x:c>
      <x:c r="B5" s="29" t="str">
        <x:v>7th-plague</x:v>
      </x:c>
      <x:c r="C5" s="29" t="str">
        <x:v>7th Plague</x:v>
      </x:c>
      <x:c r="D5" s="29" t="str">
        <x:v>Monk</x:v>
      </x:c>
      <x:c r="E5" s="29" t="str">
        <x:v>Red</x:v>
      </x:c>
      <x:c r="F5" s="29" t="str">
        <x:v>Attack</x:v>
      </x:c>
      <x:c r="G5" s="29" t="str">
        <x:v>Multi</x:v>
      </x:c>
      <x:c r="H5" s="32" t="n">
        <x:v>1</x:v>
      </x:c>
      <x:c r="I5" s="32"/>
      <x:c r="J5" s="32"/>
      <x:c r="K5" s="29" t="str">
        <x:v>All Warriors on your opponent’s side of the field take 1000 damage.</x:v>
      </x:c>
      <x:c r="L5" s="29" t="str">
        <x:v>damage_all_enemy_warriors</x:v>
      </x:c>
      <x:c r="M5" s="29" t="str">
        <x:v>1000</x:v>
      </x:c>
      <x:c r="N5" s="29" t="str">
        <x:v>all opponent Warriors</x:v>
      </x:c>
      <x:c r="O5" s="29" t="str">
        <x:v>instant</x:v>
      </x:c>
      <x:c r="P5" s="29" t="str">
        <x:v>7th-plague.webp</x:v>
      </x:c>
      <x:c r="Q5" s="29" t="str">
        <x:v>7th Plague.png</x:v>
      </x:c>
      <x:c r="R5" s="29" t="str">
        <x:v>All Attack cards cost 1 Spirit</x:v>
      </x:c>
      <x:c r="S5" s="29" t="str"/>
    </x:row>
    <x:row r="6">
      <x:c r="A6" s="29" t="str">
        <x:v>warrior_blaize-azazel</x:v>
      </x:c>
      <x:c r="B6" s="29" t="str">
        <x:v>blaize-azazel</x:v>
      </x:c>
      <x:c r="C6" s="29" t="str">
        <x:v>Blaize Azazel</x:v>
      </x:c>
      <x:c r="D6" s="29" t="str">
        <x:v>Monk</x:v>
      </x:c>
      <x:c r="E6" s="29" t="str">
        <x:v>Red</x:v>
      </x:c>
      <x:c r="F6" s="29" t="str">
        <x:v>Warrior</x:v>
      </x:c>
      <x:c r="G6" s="29" t="str"/>
      <x:c r="H6" s="32" t="n">
        <x:v>1</x:v>
      </x:c>
      <x:c r="I6" s="32" t="n">
        <x:v>2100</x:v>
      </x:c>
      <x:c r="J6" s="32" t="n">
        <x:v>7000</x:v>
      </x:c>
      <x:c r="K6" s="29" t="str"/>
      <x:c r="L6" s="29" t="str"/>
      <x:c r="M6" s="29" t="str"/>
      <x:c r="N6" s="29" t="str"/>
      <x:c r="O6" s="29" t="str"/>
      <x:c r="P6" s="29" t="str">
        <x:v>blaize-azazel.webp</x:v>
      </x:c>
      <x:c r="Q6" s="29" t="str">
        <x:v>Blaize Azazel.png</x:v>
      </x:c>
      <x:c r="R6" s="29" t="str">
        <x:v>ATK-based</x:v>
      </x:c>
      <x:c r="S6" s="29" t="str"/>
    </x:row>
    <x:row r="7">
      <x:c r="A7" s="29" t="str">
        <x:v>attack_dantes-lamentation</x:v>
      </x:c>
      <x:c r="B7" s="29" t="str">
        <x:v>dantes-lamentation</x:v>
      </x:c>
      <x:c r="C7" s="29" t="str">
        <x:v>Dante’s Lamentation</x:v>
      </x:c>
      <x:c r="D7" s="29" t="str">
        <x:v>Monk</x:v>
      </x:c>
      <x:c r="E7" s="29" t="str">
        <x:v>Red</x:v>
      </x:c>
      <x:c r="F7" s="29" t="str">
        <x:v>Attack</x:v>
      </x:c>
      <x:c r="G7" s="29" t="str">
        <x:v>Finisher</x:v>
      </x:c>
      <x:c r="H7" s="32" t="n">
        <x:v>1</x:v>
      </x:c>
      <x:c r="I7" s="32"/>
      <x:c r="J7" s="32"/>
      <x:c r="K7" s="29" t="str">
        <x:v>Destroy 1 Warrior on your opponent’s side of the field.</x:v>
      </x:c>
      <x:c r="L7" s="29" t="str">
        <x:v>destroy_enemy_warrior</x:v>
      </x:c>
      <x:c r="M7" s="29" t="str">
        <x:v>1</x:v>
      </x:c>
      <x:c r="N7" s="29" t="str">
        <x:v>1 opponent Warrior</x:v>
      </x:c>
      <x:c r="O7" s="29" t="str">
        <x:v>instant</x:v>
      </x:c>
      <x:c r="P7" s="29" t="str">
        <x:v>dantes-lamentation.webp</x:v>
      </x:c>
      <x:c r="Q7" s="29" t="str">
        <x:v>Dante's Lamentation.png</x:v>
      </x:c>
      <x:c r="R7" s="29" t="str">
        <x:v>All Attack cards cost 1 Spirit</x:v>
      </x:c>
      <x:c r="S7" s="29" t="str"/>
    </x:row>
    <x:row r="8">
      <x:c r="A8" s="29" t="str">
        <x:v>warrior_diyu-shang</x:v>
      </x:c>
      <x:c r="B8" s="29" t="str">
        <x:v>diyu-shang</x:v>
      </x:c>
      <x:c r="C8" s="29" t="str">
        <x:v>Dìyù Shang</x:v>
      </x:c>
      <x:c r="D8" s="29" t="str">
        <x:v>Monk</x:v>
      </x:c>
      <x:c r="E8" s="29" t="str">
        <x:v>Red</x:v>
      </x:c>
      <x:c r="F8" s="29" t="str">
        <x:v>Warrior</x:v>
      </x:c>
      <x:c r="G8" s="29" t="str"/>
      <x:c r="H8" s="32" t="n">
        <x:v>2</x:v>
      </x:c>
      <x:c r="I8" s="32" t="n">
        <x:v>2400</x:v>
      </x:c>
      <x:c r="J8" s="32" t="n">
        <x:v>6000</x:v>
      </x:c>
      <x:c r="K8" s="29" t="str"/>
      <x:c r="L8" s="29" t="str"/>
      <x:c r="M8" s="29" t="str"/>
      <x:c r="N8" s="29" t="str"/>
      <x:c r="O8" s="29" t="str"/>
      <x:c r="P8" s="29" t="str">
        <x:v>diyu-shang.webp</x:v>
      </x:c>
      <x:c r="Q8" s="29" t="str">
        <x:v>Dìyù Shang.png</x:v>
      </x:c>
      <x:c r="R8" s="29" t="str">
        <x:v>ATK-based</x:v>
      </x:c>
      <x:c r="S8" s="29" t="str"/>
    </x:row>
    <x:row r="9">
      <x:c r="A9" s="29" t="str">
        <x:v>attack_gylippus</x:v>
      </x:c>
      <x:c r="B9" s="29" t="str">
        <x:v>gylippus</x:v>
      </x:c>
      <x:c r="C9" s="29" t="str">
        <x:v>Gylippus</x:v>
      </x:c>
      <x:c r="D9" s="29" t="str">
        <x:v>Monk</x:v>
      </x:c>
      <x:c r="E9" s="29" t="str">
        <x:v>Red</x:v>
      </x:c>
      <x:c r="F9" s="29" t="str">
        <x:v>Attack</x:v>
      </x:c>
      <x:c r="G9" s="29" t="str">
        <x:v>Multi</x:v>
      </x:c>
      <x:c r="H9" s="32" t="n">
        <x:v>1</x:v>
      </x:c>
      <x:c r="I9" s="32"/>
      <x:c r="J9" s="32"/>
      <x:c r="K9" s="29" t="str">
        <x:v>Target 2 Warriors. 1. Deal 2000 additional damage when you attack. 2. Deal 1000 total damage.</x:v>
      </x:c>
      <x:c r="L9" s="29" t="str">
        <x:v>target_two_warriors_boost_and_damage</x:v>
      </x:c>
      <x:c r="M9" s="29" t="str">
        <x:v>2000 / 1000</x:v>
      </x:c>
      <x:c r="N9" s="29" t="str">
        <x:v>2 Warriors</x:v>
      </x:c>
      <x:c r="O9" s="29" t="str">
        <x:v>mixed; confirm timing</x:v>
      </x:c>
      <x:c r="P9" s="29" t="str">
        <x:v>gylippus.webp</x:v>
      </x:c>
      <x:c r="Q9" s="29" t="str">
        <x:v>Gylippus(1).png</x:v>
      </x:c>
      <x:c r="R9" s="29" t="str">
        <x:v>All Attack cards cost 1 Spirit</x:v>
      </x:c>
      <x:c r="S9" s="29" t="str">
        <x:v>Rules text needs confirmation: clarify which selected Warrior receives the +2000 next-attack damage and which receives 1000 total damage.</x:v>
      </x:c>
    </x:row>
    <x:row r="10">
      <x:c r="A10" s="29" t="str">
        <x:v>warrior_gouhuo-yongheng</x:v>
      </x:c>
      <x:c r="B10" s="29" t="str">
        <x:v>gouhuo-yongheng</x:v>
      </x:c>
      <x:c r="C10" s="29" t="str">
        <x:v>Gōuhuǒ Yǒnghéng</x:v>
      </x:c>
      <x:c r="D10" s="29" t="str">
        <x:v>Monk</x:v>
      </x:c>
      <x:c r="E10" s="29" t="str">
        <x:v>Red</x:v>
      </x:c>
      <x:c r="F10" s="29" t="str">
        <x:v>Warrior</x:v>
      </x:c>
      <x:c r="G10" s="29" t="str"/>
      <x:c r="H10" s="32" t="n">
        <x:v>3</x:v>
      </x:c>
      <x:c r="I10" s="32" t="n">
        <x:v>2750</x:v>
      </x:c>
      <x:c r="J10" s="32" t="n">
        <x:v>7500</x:v>
      </x:c>
      <x:c r="K10" s="29" t="str"/>
      <x:c r="L10" s="29" t="str"/>
      <x:c r="M10" s="29" t="str"/>
      <x:c r="N10" s="29" t="str"/>
      <x:c r="O10" s="29" t="str"/>
      <x:c r="P10" s="29" t="str">
        <x:v>gouhuo-yongheng.webp</x:v>
      </x:c>
      <x:c r="Q10" s="29" t="str">
        <x:v>Gōuhuǒ Yǒnghéng.png</x:v>
      </x:c>
      <x:c r="R10" s="29" t="str">
        <x:v>ATK-based</x:v>
      </x:c>
      <x:c r="S10" s="29" t="str"/>
    </x:row>
    <x:row r="11">
      <x:c r="A11" s="29" t="str">
        <x:v>warrior_hades-ceru</x:v>
      </x:c>
      <x:c r="B11" s="29" t="str">
        <x:v>hades-ceru</x:v>
      </x:c>
      <x:c r="C11" s="29" t="str">
        <x:v>Hades Ceru</x:v>
      </x:c>
      <x:c r="D11" s="29" t="str">
        <x:v>Monk</x:v>
      </x:c>
      <x:c r="E11" s="29" t="str">
        <x:v>Red</x:v>
      </x:c>
      <x:c r="F11" s="29" t="str">
        <x:v>Warrior</x:v>
      </x:c>
      <x:c r="G11" s="29" t="str"/>
      <x:c r="H11" s="32" t="n">
        <x:v>3</x:v>
      </x:c>
      <x:c r="I11" s="32" t="n">
        <x:v>2550</x:v>
      </x:c>
      <x:c r="J11" s="32" t="n">
        <x:v>6500</x:v>
      </x:c>
      <x:c r="K11" s="29" t="str"/>
      <x:c r="L11" s="29" t="str"/>
      <x:c r="M11" s="29" t="str"/>
      <x:c r="N11" s="29" t="str"/>
      <x:c r="O11" s="29" t="str"/>
      <x:c r="P11" s="29" t="str">
        <x:v>hades-ceru.webp</x:v>
      </x:c>
      <x:c r="Q11" s="29" t="str">
        <x:v>Hades Ceru.png</x:v>
      </x:c>
      <x:c r="R11" s="29" t="str">
        <x:v>ATK-based</x:v>
      </x:c>
      <x:c r="S11" s="29" t="str"/>
    </x:row>
    <x:row r="12">
      <x:c r="A12" s="29" t="str">
        <x:v>warrior_haifa-morningstar</x:v>
      </x:c>
      <x:c r="B12" s="29" t="str">
        <x:v>haifa-morningstar</x:v>
      </x:c>
      <x:c r="C12" s="29" t="str">
        <x:v>Haifa Morningstar</x:v>
      </x:c>
      <x:c r="D12" s="29" t="str">
        <x:v>Monk</x:v>
      </x:c>
      <x:c r="E12" s="29" t="str">
        <x:v>Red</x:v>
      </x:c>
      <x:c r="F12" s="29" t="str">
        <x:v>Warrior</x:v>
      </x:c>
      <x:c r="G12" s="29" t="str"/>
      <x:c r="H12" s="32" t="n">
        <x:v>2</x:v>
      </x:c>
      <x:c r="I12" s="32" t="n">
        <x:v>2350</x:v>
      </x:c>
      <x:c r="J12" s="32" t="n">
        <x:v>5500</x:v>
      </x:c>
      <x:c r="K12" s="29" t="str"/>
      <x:c r="L12" s="29" t="str"/>
      <x:c r="M12" s="29" t="str"/>
      <x:c r="N12" s="29" t="str"/>
      <x:c r="O12" s="29" t="str"/>
      <x:c r="P12" s="29" t="str">
        <x:v>haifa-morningstar.webp</x:v>
      </x:c>
      <x:c r="Q12" s="29" t="str">
        <x:v>Haifa Morningstar.png</x:v>
      </x:c>
      <x:c r="R12" s="29" t="str">
        <x:v>ATK-based</x:v>
      </x:c>
      <x:c r="S12" s="29" t="str"/>
    </x:row>
    <x:row r="13">
      <x:c r="A13" s="29" t="str">
        <x:v>warrior_hideon</x:v>
      </x:c>
      <x:c r="B13" s="29" t="str">
        <x:v>hideon</x:v>
      </x:c>
      <x:c r="C13" s="29" t="str">
        <x:v>Hideon</x:v>
      </x:c>
      <x:c r="D13" s="29" t="str">
        <x:v>Monk</x:v>
      </x:c>
      <x:c r="E13" s="29" t="str">
        <x:v>Red</x:v>
      </x:c>
      <x:c r="F13" s="29" t="str">
        <x:v>Warrior</x:v>
      </x:c>
      <x:c r="G13" s="29" t="str"/>
      <x:c r="H13" s="32" t="n">
        <x:v>1</x:v>
      </x:c>
      <x:c r="I13" s="32" t="n">
        <x:v>1800</x:v>
      </x:c>
      <x:c r="J13" s="32" t="n">
        <x:v>5500</x:v>
      </x:c>
      <x:c r="K13" s="29" t="str"/>
      <x:c r="L13" s="29" t="str"/>
      <x:c r="M13" s="29" t="str"/>
      <x:c r="N13" s="29" t="str"/>
      <x:c r="O13" s="29" t="str"/>
      <x:c r="P13" s="29" t="str">
        <x:v>hideon.webp</x:v>
      </x:c>
      <x:c r="Q13" s="29" t="str">
        <x:v>Hideon.png</x:v>
      </x:c>
      <x:c r="R13" s="29" t="str">
        <x:v>ATK-based</x:v>
      </x:c>
      <x:c r="S13" s="29" t="str"/>
    </x:row>
    <x:row r="14">
      <x:c r="A14" s="29" t="str">
        <x:v>warrior_huoyan-ying</x:v>
      </x:c>
      <x:c r="B14" s="29" t="str">
        <x:v>huoyan-ying</x:v>
      </x:c>
      <x:c r="C14" s="29" t="str">
        <x:v>Huǒyàn Yīng</x:v>
      </x:c>
      <x:c r="D14" s="29" t="str">
        <x:v>Monk</x:v>
      </x:c>
      <x:c r="E14" s="29" t="str">
        <x:v>Red</x:v>
      </x:c>
      <x:c r="F14" s="29" t="str">
        <x:v>Warrior</x:v>
      </x:c>
      <x:c r="G14" s="29" t="str"/>
      <x:c r="H14" s="32" t="n">
        <x:v>1</x:v>
      </x:c>
      <x:c r="I14" s="32" t="n">
        <x:v>2200</x:v>
      </x:c>
      <x:c r="J14" s="32" t="n">
        <x:v>5500</x:v>
      </x:c>
      <x:c r="K14" s="29" t="str"/>
      <x:c r="L14" s="29" t="str"/>
      <x:c r="M14" s="29" t="str"/>
      <x:c r="N14" s="29" t="str"/>
      <x:c r="O14" s="29" t="str"/>
      <x:c r="P14" s="29" t="str">
        <x:v>huoyan-ying.webp</x:v>
      </x:c>
      <x:c r="Q14" s="29" t="str">
        <x:v>Huǒyàn Yīng.png</x:v>
      </x:c>
      <x:c r="R14" s="29" t="str">
        <x:v>ATK-based</x:v>
      </x:c>
      <x:c r="S14" s="29" t="str"/>
    </x:row>
    <x:row r="15">
      <x:c r="A15" s="29" t="str">
        <x:v>warrior_jiaohui-zhong</x:v>
      </x:c>
      <x:c r="B15" s="29" t="str">
        <x:v>jiaohui-zhong</x:v>
      </x:c>
      <x:c r="C15" s="29" t="str">
        <x:v>Jiàohuì Zhōng</x:v>
      </x:c>
      <x:c r="D15" s="29" t="str">
        <x:v>Monk</x:v>
      </x:c>
      <x:c r="E15" s="29" t="str">
        <x:v>Red</x:v>
      </x:c>
      <x:c r="F15" s="29" t="str">
        <x:v>Warrior</x:v>
      </x:c>
      <x:c r="G15" s="29" t="str"/>
      <x:c r="H15" s="32" t="n">
        <x:v>3</x:v>
      </x:c>
      <x:c r="I15" s="32" t="n">
        <x:v>2800</x:v>
      </x:c>
      <x:c r="J15" s="32" t="n">
        <x:v>7500</x:v>
      </x:c>
      <x:c r="K15" s="29" t="str"/>
      <x:c r="L15" s="29" t="str"/>
      <x:c r="M15" s="29" t="str"/>
      <x:c r="N15" s="29" t="str"/>
      <x:c r="O15" s="29" t="str"/>
      <x:c r="P15" s="29" t="str">
        <x:v>jiaohui-zhong.webp</x:v>
      </x:c>
      <x:c r="Q15" s="29" t="str">
        <x:v>Jiàohuì Zhōng.png</x:v>
      </x:c>
      <x:c r="R15" s="29" t="str">
        <x:v>ATK-based</x:v>
      </x:c>
      <x:c r="S15" s="29" t="str"/>
    </x:row>
    <x:row r="16">
      <x:c r="A16" s="29" t="str">
        <x:v>warrior_juan-feng</x:v>
      </x:c>
      <x:c r="B16" s="29" t="str">
        <x:v>juan-feng</x:v>
      </x:c>
      <x:c r="C16" s="29" t="str">
        <x:v>Juǎn Fēng</x:v>
      </x:c>
      <x:c r="D16" s="29" t="str">
        <x:v>Monk</x:v>
      </x:c>
      <x:c r="E16" s="29" t="str">
        <x:v>Red</x:v>
      </x:c>
      <x:c r="F16" s="29" t="str">
        <x:v>Warrior</x:v>
      </x:c>
      <x:c r="G16" s="29" t="str"/>
      <x:c r="H16" s="32" t="n">
        <x:v>2</x:v>
      </x:c>
      <x:c r="I16" s="32" t="n">
        <x:v>2500</x:v>
      </x:c>
      <x:c r="J16" s="32" t="n">
        <x:v>6000</x:v>
      </x:c>
      <x:c r="K16" s="29" t="str"/>
      <x:c r="L16" s="29" t="str"/>
      <x:c r="M16" s="29" t="str"/>
      <x:c r="N16" s="29" t="str"/>
      <x:c r="O16" s="29" t="str"/>
      <x:c r="P16" s="29" t="str">
        <x:v>juan-feng.webp</x:v>
      </x:c>
      <x:c r="Q16" s="29" t="str">
        <x:v>Juǎn Fēng.png</x:v>
      </x:c>
      <x:c r="R16" s="29" t="str">
        <x:v>ATK-based</x:v>
      </x:c>
      <x:c r="S16" s="29" t="str"/>
    </x:row>
    <x:row r="17">
      <x:c r="A17" s="29" t="str">
        <x:v>warrior_knight-gradi</x:v>
      </x:c>
      <x:c r="B17" s="29" t="str">
        <x:v>knight-gradi</x:v>
      </x:c>
      <x:c r="C17" s="29" t="str">
        <x:v>Knight Gradi</x:v>
      </x:c>
      <x:c r="D17" s="29" t="str">
        <x:v>Monk</x:v>
      </x:c>
      <x:c r="E17" s="29" t="str">
        <x:v>Red</x:v>
      </x:c>
      <x:c r="F17" s="29" t="str">
        <x:v>Warrior</x:v>
      </x:c>
      <x:c r="G17" s="29" t="str"/>
      <x:c r="H17" s="32" t="n">
        <x:v>1</x:v>
      </x:c>
      <x:c r="I17" s="32" t="n">
        <x:v>2000</x:v>
      </x:c>
      <x:c r="J17" s="32" t="n">
        <x:v>6500</x:v>
      </x:c>
      <x:c r="K17" s="29" t="str"/>
      <x:c r="L17" s="29" t="str"/>
      <x:c r="M17" s="29" t="str"/>
      <x:c r="N17" s="29" t="str"/>
      <x:c r="O17" s="29" t="str"/>
      <x:c r="P17" s="29" t="str">
        <x:v>knight-gradi.webp</x:v>
      </x:c>
      <x:c r="Q17" s="29" t="str">
        <x:v>Knight Gradi.png</x:v>
      </x:c>
      <x:c r="R17" s="29" t="str">
        <x:v>ATK-based</x:v>
      </x:c>
      <x:c r="S17" s="29" t="str"/>
    </x:row>
    <x:row r="18">
      <x:c r="A18" s="29" t="str">
        <x:v>warrior_liuxing</x:v>
      </x:c>
      <x:c r="B18" s="29" t="str">
        <x:v>liuxing</x:v>
      </x:c>
      <x:c r="C18" s="29" t="str">
        <x:v>Liúxīng</x:v>
      </x:c>
      <x:c r="D18" s="29" t="str">
        <x:v>Monk</x:v>
      </x:c>
      <x:c r="E18" s="29" t="str">
        <x:v>Red</x:v>
      </x:c>
      <x:c r="F18" s="29" t="str">
        <x:v>Warrior</x:v>
      </x:c>
      <x:c r="G18" s="29" t="str"/>
      <x:c r="H18" s="32" t="n">
        <x:v>1</x:v>
      </x:c>
      <x:c r="I18" s="32" t="n">
        <x:v>2200</x:v>
      </x:c>
      <x:c r="J18" s="32" t="n">
        <x:v>7000</x:v>
      </x:c>
      <x:c r="K18" s="29" t="str"/>
      <x:c r="L18" s="29" t="str"/>
      <x:c r="M18" s="29" t="str"/>
      <x:c r="N18" s="29" t="str"/>
      <x:c r="O18" s="29" t="str"/>
      <x:c r="P18" s="29" t="str">
        <x:v>liuxing.webp</x:v>
      </x:c>
      <x:c r="Q18" s="29" t="str">
        <x:v>Liúxīng.png</x:v>
      </x:c>
      <x:c r="R18" s="29" t="str">
        <x:v>ATK-based</x:v>
      </x:c>
      <x:c r="S18" s="29" t="str"/>
    </x:row>
    <x:row r="19">
      <x:c r="A19" s="29" t="str">
        <x:v>warrior_oog</x:v>
      </x:c>
      <x:c r="B19" s="29" t="str">
        <x:v>oog</x:v>
      </x:c>
      <x:c r="C19" s="29" t="str">
        <x:v>Oog</x:v>
      </x:c>
      <x:c r="D19" s="29" t="str">
        <x:v>Monk</x:v>
      </x:c>
      <x:c r="E19" s="29" t="str">
        <x:v>Red</x:v>
      </x:c>
      <x:c r="F19" s="29" t="str">
        <x:v>Warrior</x:v>
      </x:c>
      <x:c r="G19" s="29" t="str"/>
      <x:c r="H19" s="32" t="n">
        <x:v>1</x:v>
      </x:c>
      <x:c r="I19" s="32" t="n">
        <x:v>1850</x:v>
      </x:c>
      <x:c r="J19" s="32" t="n">
        <x:v>5500</x:v>
      </x:c>
      <x:c r="K19" s="29" t="str"/>
      <x:c r="L19" s="29" t="str"/>
      <x:c r="M19" s="29" t="str"/>
      <x:c r="N19" s="29" t="str"/>
      <x:c r="O19" s="29" t="str"/>
      <x:c r="P19" s="29" t="str">
        <x:v>oog.webp</x:v>
      </x:c>
      <x:c r="Q19" s="29" t="str">
        <x:v>Oog.png</x:v>
      </x:c>
      <x:c r="R19" s="29" t="str">
        <x:v>ATK-based</x:v>
      </x:c>
      <x:c r="S19" s="29" t="str"/>
    </x:row>
    <x:row r="20">
      <x:c r="A20" s="29" t="str">
        <x:v>warrior_warden-arcane</x:v>
      </x:c>
      <x:c r="B20" s="29" t="str">
        <x:v>warden-arcane</x:v>
      </x:c>
      <x:c r="C20" s="29" t="str">
        <x:v>Warden Arcane</x:v>
      </x:c>
      <x:c r="D20" s="29" t="str">
        <x:v>Monk</x:v>
      </x:c>
      <x:c r="E20" s="29" t="str">
        <x:v>Red</x:v>
      </x:c>
      <x:c r="F20" s="29" t="str">
        <x:v>Warrior</x:v>
      </x:c>
      <x:c r="G20" s="29" t="str"/>
      <x:c r="H20" s="32" t="n">
        <x:v>2</x:v>
      </x:c>
      <x:c r="I20" s="32" t="n">
        <x:v>2300</x:v>
      </x:c>
      <x:c r="J20" s="32" t="n">
        <x:v>6000</x:v>
      </x:c>
      <x:c r="K20" s="29" t="str"/>
      <x:c r="L20" s="29" t="str"/>
      <x:c r="M20" s="29" t="str"/>
      <x:c r="N20" s="29" t="str"/>
      <x:c r="O20" s="29" t="str"/>
      <x:c r="P20" s="29" t="str">
        <x:v>warden-arcane.webp</x:v>
      </x:c>
      <x:c r="Q20" s="29" t="str">
        <x:v>Warden Arcane.png</x:v>
      </x:c>
      <x:c r="R20" s="29" t="str">
        <x:v>ATK-based</x:v>
      </x:c>
      <x:c r="S20" s="29" t="str"/>
    </x:row>
    <x:row r="21">
      <x:c r="A21" s="29" t="str">
        <x:v>warrior_xian</x:v>
      </x:c>
      <x:c r="B21" s="29" t="str">
        <x:v>xian</x:v>
      </x:c>
      <x:c r="C21" s="29" t="str">
        <x:v>Xian</x:v>
      </x:c>
      <x:c r="D21" s="29" t="str">
        <x:v>Monk</x:v>
      </x:c>
      <x:c r="E21" s="29" t="str">
        <x:v>Red</x:v>
      </x:c>
      <x:c r="F21" s="29" t="str">
        <x:v>Warrior</x:v>
      </x:c>
      <x:c r="G21" s="29" t="str"/>
      <x:c r="H21" s="32" t="n">
        <x:v>1</x:v>
      </x:c>
      <x:c r="I21" s="32" t="n">
        <x:v>2000</x:v>
      </x:c>
      <x:c r="J21" s="32" t="n">
        <x:v>6000</x:v>
      </x:c>
      <x:c r="K21" s="29" t="str"/>
      <x:c r="L21" s="29" t="str"/>
      <x:c r="M21" s="29" t="str"/>
      <x:c r="N21" s="29" t="str"/>
      <x:c r="O21" s="29" t="str"/>
      <x:c r="P21" s="29" t="str">
        <x:v>xian.webp</x:v>
      </x:c>
      <x:c r="Q21" s="29" t="str">
        <x:v>Xian.png</x:v>
      </x:c>
      <x:c r="R21" s="29" t="str">
        <x:v>ATK-based</x:v>
      </x:c>
      <x:c r="S21" s="29" t="str"/>
    </x:row>
    <x:row r="22">
      <x:c r="A22" s="29" t="str">
        <x:v>warrior_emo</x:v>
      </x:c>
      <x:c r="B22" s="29" t="str">
        <x:v>emo</x:v>
      </x:c>
      <x:c r="C22" s="29" t="str">
        <x:v>Èmó</x:v>
      </x:c>
      <x:c r="D22" s="29" t="str">
        <x:v>Monk</x:v>
      </x:c>
      <x:c r="E22" s="29" t="str">
        <x:v>Red</x:v>
      </x:c>
      <x:c r="F22" s="29" t="str">
        <x:v>Warrior</x:v>
      </x:c>
      <x:c r="G22" s="29" t="str"/>
      <x:c r="H22" s="32" t="n">
        <x:v>3</x:v>
      </x:c>
      <x:c r="I22" s="32" t="n">
        <x:v>2600</x:v>
      </x:c>
      <x:c r="J22" s="32" t="n">
        <x:v>6500</x:v>
      </x:c>
      <x:c r="K22" s="29" t="str"/>
      <x:c r="L22" s="29" t="str"/>
      <x:c r="M22" s="29" t="str"/>
      <x:c r="N22" s="29" t="str"/>
      <x:c r="O22" s="29" t="str"/>
      <x:c r="P22" s="29" t="str">
        <x:v>emo.webp</x:v>
      </x:c>
      <x:c r="Q22" s="29" t="str">
        <x:v>Èmó.png</x:v>
      </x:c>
      <x:c r="R22" s="29" t="str">
        <x:v>ATK-based</x:v>
      </x:c>
      <x:c r="S22" s="29" t="str"/>
    </x:row>
    <x:row r="23">
      <x:c r="A23" s="29" t="str">
        <x:v>warrior_hope-cyrus</x:v>
      </x:c>
      <x:c r="B23" s="29" t="str">
        <x:v>hope-cyrus</x:v>
      </x:c>
      <x:c r="C23" s="29" t="str">
        <x:v>“Hope” Cyrus</x:v>
      </x:c>
      <x:c r="D23" s="29" t="str">
        <x:v>Monk</x:v>
      </x:c>
      <x:c r="E23" s="29" t="str">
        <x:v>Red</x:v>
      </x:c>
      <x:c r="F23" s="29" t="str">
        <x:v>Warrior</x:v>
      </x:c>
      <x:c r="G23" s="29" t="str"/>
      <x:c r="H23" s="32" t="n">
        <x:v>2</x:v>
      </x:c>
      <x:c r="I23" s="32" t="n">
        <x:v>2300</x:v>
      </x:c>
      <x:c r="J23" s="32" t="n">
        <x:v>6500</x:v>
      </x:c>
      <x:c r="K23" s="29" t="str"/>
      <x:c r="L23" s="29" t="str"/>
      <x:c r="M23" s="29" t="str"/>
      <x:c r="N23" s="29" t="str"/>
      <x:c r="O23" s="29" t="str"/>
      <x:c r="P23" s="29" t="str">
        <x:v>hope-cyrus.webp</x:v>
      </x:c>
      <x:c r="Q23" s="29" t="str">
        <x:v>“Hope” Cyrus(1).png</x:v>
      </x:c>
      <x:c r="R23" s="29" t="str">
        <x:v>ATK-based</x:v>
      </x:c>
      <x:c r="S23" s="29" t="str"/>
    </x:row>
  </x:sheetData>
  <x:mergeCells>
    <x:mergeCell ref="A1:S1"/>
    <x:mergeCell ref="A2:S2"/>
  </x:mergeCells>
  <x:conditionalFormatting sqref="H5:H23">
    <x:cfRule type="colorScale" priority="1">
      <x:colorScale>
        <x:cfvo type="min"/>
        <x:cfvo type="percentile" val="50"/>
        <x:cfvo type="max"/>
        <x:color rgb="FEE2E2"/>
        <x:color rgb="FDBA74"/>
        <x:color rgb="B91C1C"/>
      </x:colorScale>
    </x:cfRule>
  </x:conditionalFormatting>
  <x:dataValidations count="3">
    <x:dataValidation type="list" sqref="F5:F23">
      <x:formula1>"Warrior,Attack,Weapon,Item,Field"</x:formula1>
    </x:dataValidation>
    <x:dataValidation type="list" sqref="D5:D23">
      <x:formula1>"Monk,Dwarf,Surfer,Sonic,Shaman,Neutral"</x:formula1>
    </x:dataValidation>
    <x:dataValidation type="list" sqref="H5:H23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10afa41bd143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8" hidden="0" customWidth="1"/>
  </x:cols>
  <x:sheetData>
    <x:row r="1">
      <x:c r="A1" s="21" t="str">
        <x:v>Cost Rule</x:v>
      </x:c>
      <x:c r="B1" s="21" t="str">
        <x:v>Condition</x:v>
      </x:c>
      <x:c r="C1" s="21" t="str">
        <x:v>Spirit Cost</x:v>
      </x:c>
      <x:c r="D1" s="21" t="str">
        <x:v>Applies To</x:v>
      </x:c>
    </x:row>
    <x:row r="2">
      <x:c r="A2" s="28" t="str">
        <x:v>Low ATK Warrior</x:v>
      </x:c>
      <x:c r="B2" s="28" t="str">
        <x:v>ATK &lt;= 2200</x:v>
      </x:c>
      <x:c r="C2" s="28" t="n">
        <x:v>1</x:v>
      </x:c>
      <x:c r="D2" s="28" t="str">
        <x:v>Warrior</x:v>
      </x:c>
    </x:row>
    <x:row r="3">
      <x:c r="A3" s="28" t="str">
        <x:v>Mid ATK Warrior</x:v>
      </x:c>
      <x:c r="B3" s="28" t="str">
        <x:v>2300 &lt;= ATK &lt;= 2500</x:v>
      </x:c>
      <x:c r="C3" s="28" t="n">
        <x:v>2</x:v>
      </x:c>
      <x:c r="D3" s="28" t="str">
        <x:v>Warrior</x:v>
      </x:c>
    </x:row>
    <x:row r="4">
      <x:c r="A4" s="28" t="str">
        <x:v>High ATK Warrior</x:v>
      </x:c>
      <x:c r="B4" s="28" t="str">
        <x:v>ATK &gt; 2500</x:v>
      </x:c>
      <x:c r="C4" s="28" t="n">
        <x:v>3</x:v>
      </x:c>
      <x:c r="D4" s="28" t="str">
        <x:v>Warrior</x:v>
      </x:c>
    </x:row>
    <x:row r="5">
      <x:c r="A5" s="28" t="str">
        <x:v>Attack Card Flat Cost</x:v>
      </x:c>
      <x:c r="B5" s="28" t="str">
        <x:v>All Attack cards</x:v>
      </x:c>
      <x:c r="C5" s="28" t="n">
        <x:v>1</x:v>
      </x:c>
      <x:c r="D5" s="28" t="str">
        <x:v>Attack</x:v>
      </x:c>
    </x:row>
  </x:sheetData>
  <x:pageMargins left="0.7" right="0.7" top="0.75" bottom="0.75" header="0.3" footer="0.3"/>
  <x:tableParts count="1">
    <x:tablePart xmlns:r="http://schemas.openxmlformats.org/officeDocument/2006/relationships" r:id="Ra28aef51d8034b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25" hidden="0" customWidth="1"/>
    <x:col min="4" max="4" width="24" hidden="0" customWidth="1"/>
    <x:col min="5" max="5" width="52" hidden="0" customWidth="1"/>
  </x:cols>
  <x:sheetData>
    <x:row r="1">
      <x:c r="A1" s="21" t="str">
        <x:v>effect_key</x:v>
      </x:c>
      <x:c r="B1" s="21" t="str">
        <x:v>plain_english</x:v>
      </x:c>
      <x:c r="C1" s="21" t="str">
        <x:v>default_target</x:v>
      </x:c>
      <x:c r="D1" s="21" t="str">
        <x:v>default_duration</x:v>
      </x:c>
      <x:c r="E1" s="21" t="str">
        <x:v>implementation_notes</x:v>
      </x:c>
    </x:row>
    <x:row r="2">
      <x:c r="A2" s="28" t="str">
        <x:v>damage_all_enemy_warriors</x:v>
      </x:c>
      <x:c r="B2" s="28" t="str">
        <x:v>Deal fixed damage to every Warrior controlled by the opponent.</x:v>
      </x:c>
      <x:c r="C2" s="28" t="str">
        <x:v>all opponent Warriors</x:v>
      </x:c>
      <x:c r="D2" s="28" t="str">
        <x:v>instant</x:v>
      </x:c>
      <x:c r="E2" s="28" t="str">
        <x:v>Used by 7th Plague. Amount = 1000.</x:v>
      </x:c>
    </x:row>
    <x:row r="3">
      <x:c r="A3" s="28" t="str">
        <x:v>destroy_enemy_warrior</x:v>
      </x:c>
      <x:c r="B3" s="28" t="str">
        <x:v>Destroy one selected Warrior controlled by the opponent.</x:v>
      </x:c>
      <x:c r="C3" s="28" t="str">
        <x:v>1 opponent Warrior</x:v>
      </x:c>
      <x:c r="D3" s="28" t="str">
        <x:v>instant</x:v>
      </x:c>
      <x:c r="E3" s="28" t="str">
        <x:v>Used by Dante’s Lamentation.</x:v>
      </x:c>
    </x:row>
    <x:row r="4">
      <x:c r="A4" s="28" t="str">
        <x:v>target_two_warriors_boost_and_damage</x:v>
      </x:c>
      <x:c r="B4" s="28" t="str">
        <x:v>Target two Warriors and apply a mixed damage boost/damage effect.</x:v>
      </x:c>
      <x:c r="C4" s="28" t="str">
        <x:v>2 Warriors</x:v>
      </x:c>
      <x:c r="D4" s="28" t="str">
        <x:v>mixed; confirm timing</x:v>
      </x:c>
      <x:c r="E4" s="28" t="str">
        <x:v>Used by Gylippus. Needs a rules clarification before hardcoding.</x:v>
      </x:c>
    </x:row>
  </x:sheetData>
  <x:pageMargins left="0.7" right="0.7" top="0.75" bottom="0.75" header="0.3" footer="0.3"/>
  <x:tableParts count="1">
    <x:tablePart xmlns:r="http://schemas.openxmlformats.org/officeDocument/2006/relationships" r:id="R67663aa60f9449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36" hidden="0" customWidth="1"/>
    <x:col min="4" max="4" width="36" hidden="0" customWidth="1"/>
    <x:col min="5" max="5" width="10" hidden="0" customWidth="1"/>
  </x:cols>
  <x:sheetData>
    <x:row r="1" ht="28" customHeight="1">
      <x:c r="A1" s="4" t="str">
        <x:v>Euphoria TCG — Monk Card Pool Summary</x:v>
      </x:c>
      <x:c r="B1" s="4" t="str"/>
      <x:c r="C1" s="4" t="str"/>
      <x:c r="D1" s="4" t="str"/>
      <x:c r="E1" s="4" t="str"/>
    </x:row>
    <x:row r="3">
      <x:c r="A3" s="21" t="str">
        <x:v>Metric</x:v>
      </x:c>
      <x:c r="B3" s="21" t="str">
        <x:v>Value</x:v>
      </x:c>
      <x:c r="C3" s="21" t="str">
        <x:v>Formula / Basis</x:v>
      </x:c>
      <x:c r="D3" s="21" t="str">
        <x:v>Notes</x:v>
      </x:c>
      <x:c r="E3" s="21" t="str"/>
    </x:row>
    <x:row r="4">
      <x:c r="A4" s="28" t="str">
        <x:v>Total cards</x:v>
      </x:c>
      <x:c r="B4" s="38" t="n">
        <x:f>COUNTA('Monk Cards'!C5:C23)</x:f>
        <x:v>19</x:v>
      </x:c>
      <x:c r="C4" s="28" t="str">
        <x:v>Count of card names</x:v>
      </x:c>
      <x:c r="D4" s="28" t="str"/>
      <x:c r="E4" s="28" t="str"/>
    </x:row>
    <x:row r="5">
      <x:c r="A5" s="28" t="str">
        <x:v>Warriors</x:v>
      </x:c>
      <x:c r="B5" s="38" t="n">
        <x:f>COUNTIF('Monk Cards'!F5:F23,"Warrior")</x:f>
        <x:v>16</x:v>
      </x:c>
      <x:c r="C5" s="28" t="str">
        <x:v>Type count</x:v>
      </x:c>
      <x:c r="D5" s="28" t="str"/>
      <x:c r="E5" s="28" t="str"/>
    </x:row>
    <x:row r="6">
      <x:c r="A6" s="28" t="str">
        <x:v>Attack cards</x:v>
      </x:c>
      <x:c r="B6" s="38" t="n">
        <x:f>COUNTIF('Monk Cards'!F5:F23,"Attack")</x:f>
        <x:v>3</x:v>
      </x:c>
      <x:c r="C6" s="28" t="str">
        <x:v>Type count</x:v>
      </x:c>
      <x:c r="D6" s="28" t="str"/>
      <x:c r="E6" s="28" t="str"/>
    </x:row>
    <x:row r="7">
      <x:c r="A7" s="28" t="str">
        <x:v>Average Warrior ATK</x:v>
      </x:c>
      <x:c r="B7" s="38" t="n">
        <x:f>AVERAGEIF('Monk Cards'!F5:F23,"Warrior",'Monk Cards'!I5:I23)</x:f>
        <x:v>2293.75</x:v>
      </x:c>
      <x:c r="C7" s="28" t="str">
        <x:v>Average of Warrior attack values</x:v>
      </x:c>
      <x:c r="D7" s="28" t="str"/>
      <x:c r="E7" s="28" t="str"/>
    </x:row>
    <x:row r="8">
      <x:c r="A8" s="28" t="str">
        <x:v>Average Warrior HEALTH</x:v>
      </x:c>
      <x:c r="B8" s="38" t="n">
        <x:f>AVERAGEIF('Monk Cards'!F5:F23,"Warrior",'Monk Cards'!J5:J23)</x:f>
        <x:v>6312.5</x:v>
      </x:c>
      <x:c r="C8" s="28" t="str">
        <x:v>Average of Warrior health values</x:v>
      </x:c>
      <x:c r="D8" s="28" t="str"/>
      <x:c r="E8" s="28" t="str"/>
    </x:row>
    <x:row r="9">
      <x:c r="A9" s="28" t="str">
        <x:v>Cost 1 cards</x:v>
      </x:c>
      <x:c r="B9" s="38" t="n">
        <x:f>COUNTIF('Monk Cards'!H5:H23,1)</x:f>
        <x:v>10</x:v>
      </x:c>
      <x:c r="C9" s="28" t="str">
        <x:v>Spirit cost count</x:v>
      </x:c>
      <x:c r="D9" s="28" t="str"/>
      <x:c r="E9" s="28" t="str"/>
    </x:row>
    <x:row r="10">
      <x:c r="A10" s="28" t="str">
        <x:v>Cost 2 cards</x:v>
      </x:c>
      <x:c r="B10" s="38" t="n">
        <x:f>COUNTIF('Monk Cards'!H5:H23,2)</x:f>
        <x:v>5</x:v>
      </x:c>
      <x:c r="C10" s="28" t="str">
        <x:v>Spirit cost count</x:v>
      </x:c>
      <x:c r="D10" s="28" t="str"/>
      <x:c r="E10" s="28" t="str"/>
    </x:row>
    <x:row r="11">
      <x:c r="A11" s="28" t="str">
        <x:v>Cost 3 cards</x:v>
      </x:c>
      <x:c r="B11" s="38" t="n">
        <x:f>COUNTIF('Monk Cards'!H5:H23,3)</x:f>
        <x:v>4</x:v>
      </x:c>
      <x:c r="C11" s="28" t="str">
        <x:v>Spirit cost count</x:v>
      </x:c>
      <x:c r="D11" s="28" t="str"/>
      <x:c r="E11" s="28" t="str"/>
    </x:row>
  </x:sheetData>
  <x:mergeCells>
    <x:mergeCell ref="A1:E1"/>
  </x:mergeCells>
  <x:pageMargins left="0.7" right="0.7" top="0.75" bottom="0.75" header="0.3" footer="0.3"/>
</x:worksheet>
</file>