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1de9c5cdc14042" /></Relationships>
</file>

<file path=xl/workbook.xml><?xml version="1.0" encoding="utf-8"?>
<x:workbook xmlns:x="http://schemas.openxmlformats.org/spreadsheetml/2006/main">
  <x:sheets>
    <x:sheet xmlns:r="http://schemas.openxmlformats.org/officeDocument/2006/relationships" name="Item Cards" sheetId="1" r:id="R2636e53a7925441e"/>
    <x:sheet xmlns:r="http://schemas.openxmlformats.org/officeDocument/2006/relationships" name="Non-Item Upload" sheetId="2" r:id="R457570d6586b43b7"/>
    <x:sheet xmlns:r="http://schemas.openxmlformats.org/officeDocument/2006/relationships" name="Cost Scale" sheetId="3" r:id="Redc81b50cf344b7b"/>
    <x:sheet xmlns:r="http://schemas.openxmlformats.org/officeDocument/2006/relationships" name="Effect Keys" sheetId="4" r:id="Rbf5b69ac847b4d78"/>
    <x:sheet xmlns:r="http://schemas.openxmlformats.org/officeDocument/2006/relationships" name="Summary" sheetId="5" r:id="R2cca6be7117446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
      <x:name val="Carlito"/>
    </x:font>
    <x:font>
      <x:b/>
      <x:sz val="16"/>
      <x:color rgb="FFFFFF"/>
      <x:name val="Carlito"/>
    </x:font>
    <x:font>
      <x:i/>
      <x:sz val="11"/>
      <x:color rgb="1E3A8A"/>
      <x:name val="Carlito"/>
    </x:font>
  </x:fonts>
  <x:fills count="5">
    <x:fill>
      <x:patternFill patternType="none"/>
    </x:fill>
    <x:fill>
      <x:patternFill patternType="gray125"/>
    </x:fill>
    <x:fill>
      <x:patternFill patternType="solid">
        <x:fgColor rgb="1D4ED8"/>
      </x:patternFill>
    </x:fill>
    <x:fill>
      <x:patternFill patternType="solid">
        <x:fgColor rgb="0F172A"/>
      </x:patternFill>
    </x:fill>
    <x:fill>
      <x:patternFill patternType="solid">
        <x:fgColor rgb="DBEAFE"/>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863d0599334d0a" /><Relationship Type="http://schemas.openxmlformats.org/officeDocument/2006/relationships/theme" Target="/xl/theme/theme1.xml" Id="R2b4600c6cf054932" /><Relationship Type="http://schemas.openxmlformats.org/officeDocument/2006/relationships/sharedStrings" Target="/xl/sharedStrings.xml" Id="R8121dff0ac7d41ed" /><Relationship Type="http://schemas.openxmlformats.org/officeDocument/2006/relationships/worksheet" Target="/xl/worksheets/sheet1.xml" Id="R2636e53a7925441e" /><Relationship Type="http://schemas.openxmlformats.org/officeDocument/2006/relationships/worksheet" Target="/xl/worksheets/sheet2.xml" Id="R457570d6586b43b7" /><Relationship Type="http://schemas.openxmlformats.org/officeDocument/2006/relationships/worksheet" Target="/xl/worksheets/sheet3.xml" Id="Redc81b50cf344b7b" /><Relationship Type="http://schemas.openxmlformats.org/officeDocument/2006/relationships/worksheet" Target="/xl/worksheets/sheet4.xml" Id="Rbf5b69ac847b4d78" /><Relationship Type="http://schemas.openxmlformats.org/officeDocument/2006/relationships/worksheet" Target="/xl/worksheets/sheet5.xml" Id="R2cca6be711744641" /></Relationships>
</file>

<file path=xl/tables/table1.xml><?xml version="1.0" encoding="utf-8"?>
<x:table xmlns:x="http://schemas.openxmlformats.org/spreadsheetml/2006/main" id="1" name="ItemCardsTable" displayName="ItemCardsTable" ref="A1:S16" headerRowCount="1">
  <x:tableColumns count="19">
    <x:tableColumn id="1" name="id"/>
    <x:tableColumn id="2" name="slug"/>
    <x:tableColumn id="3" name="name"/>
    <x:tableColumn id="4" name="faction"/>
    <x:tableColumn id="5" name="type"/>
    <x:tableColumn id="6" name="subtype"/>
    <x:tableColumn id="7" name="spirit_cost"/>
    <x:tableColumn id="8" name="attack"/>
    <x:tableColumn id="9" name="health"/>
    <x:tableColumn id="10" name="rules_text"/>
    <x:tableColumn id="11" name="effect_key"/>
    <x:tableColumn id="12" name="amount"/>
    <x:tableColumn id="13" name="secondary_amount"/>
    <x:tableColumn id="14" name="target"/>
    <x:tableColumn id="15" name="duration"/>
    <x:tableColumn id="16" name="image_file"/>
    <x:tableColumn id="17" name="source_file"/>
    <x:tableColumn id="18" name="rarity"/>
    <x:tableColumn id="19" name="notes"/>
  </x:tableColumns>
  <x:tableStyleInfo name="TableStyleMedium2" showRowStripes="1"/>
</x:table>
</file>

<file path=xl/tables/table2.xml><?xml version="1.0" encoding="utf-8"?>
<x:table xmlns:x="http://schemas.openxmlformats.org/spreadsheetml/2006/main" id="2" name="NonItemUploadsTable" displayName="NonItemUploadsTable" ref="A1:S2" headerRowCount="1">
  <x:tableColumns count="19">
    <x:tableColumn id="1" name="id"/>
    <x:tableColumn id="2" name="slug"/>
    <x:tableColumn id="3" name="name"/>
    <x:tableColumn id="4" name="faction"/>
    <x:tableColumn id="5" name="type"/>
    <x:tableColumn id="6" name="subtype"/>
    <x:tableColumn id="7" name="spirit_cost"/>
    <x:tableColumn id="8" name="attack"/>
    <x:tableColumn id="9" name="health"/>
    <x:tableColumn id="10" name="rules_text"/>
    <x:tableColumn id="11" name="effect_key"/>
    <x:tableColumn id="12" name="amount"/>
    <x:tableColumn id="13" name="secondary_amount"/>
    <x:tableColumn id="14" name="target"/>
    <x:tableColumn id="15" name="duration"/>
    <x:tableColumn id="16" name="image_file"/>
    <x:tableColumn id="17" name="source_file"/>
    <x:tableColumn id="18" name="rarity"/>
    <x:tableColumn id="19" name="notes"/>
  </x:tableColumns>
  <x:tableStyleInfo name="TableStyleMedium2" showRowStripes="1"/>
</x:table>
</file>

<file path=xl/tables/table3.xml><?xml version="1.0" encoding="utf-8"?>
<x:table xmlns:x="http://schemas.openxmlformats.org/spreadsheetml/2006/main" id="3" name="CostScaleTable" displayName="CostScaleTable" ref="A1:D4" headerRowCount="1">
  <x:tableColumns count="4">
    <x:tableColumn id="1" name="Card Class"/>
    <x:tableColumn id="2" name="Spirit Cost"/>
    <x:tableColumn id="3" name="Rule"/>
    <x:tableColumn id="4" name="Notes"/>
  </x:tableColumns>
  <x:tableStyleInfo name="TableStyleMedium2" showRowStripes="1"/>
</x:table>
</file>

<file path=xl/tables/table4.xml><?xml version="1.0" encoding="utf-8"?>
<x:table xmlns:x="http://schemas.openxmlformats.org/spreadsheetml/2006/main" id="4" name="EffectKeysTable" displayName="EffectKeysTable" ref="A1:G17" headerRowCount="1">
  <x:tableColumns count="7">
    <x:tableColumn id="1" name="effect_key"/>
    <x:tableColumn id="2" name="Rules Engine Category"/>
    <x:tableColumn id="3" name="Primary Amount"/>
    <x:tableColumn id="4" name="Secondary Amount"/>
    <x:tableColumn id="5" name="Target"/>
    <x:tableColumn id="6" name="Timing/Duration"/>
    <x:tableColumn id="7" name="Implementation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c5334893974503" /></Relationships>
</file>

<file path=xl/worksheets/_rels/sheet2.xml.rels>&#65279;<?xml version="1.0" encoding="utf-8"?><Relationships xmlns="http://schemas.openxmlformats.org/package/2006/relationships"><Relationship Type="http://schemas.openxmlformats.org/officeDocument/2006/relationships/table" Target="/xl/tables/table2.xml" Id="Ra83650ab3a4a419a" /></Relationships>
</file>

<file path=xl/worksheets/_rels/sheet3.xml.rels>&#65279;<?xml version="1.0" encoding="utf-8"?><Relationships xmlns="http://schemas.openxmlformats.org/package/2006/relationships"><Relationship Type="http://schemas.openxmlformats.org/officeDocument/2006/relationships/table" Target="/xl/tables/table3.xml" Id="R88d17a75d6a74a94" /></Relationships>
</file>

<file path=xl/worksheets/_rels/sheet4.xml.rels>&#65279;<?xml version="1.0" encoding="utf-8"?><Relationships xmlns="http://schemas.openxmlformats.org/package/2006/relationships"><Relationship Type="http://schemas.openxmlformats.org/officeDocument/2006/relationships/table" Target="/xl/tables/table4.xml" Id="Rf4be92d2725a4341" /></Relationships>
</file>

<file path=xl/worksheets/sheet1.xml><?xml version="1.0" encoding="utf-8"?>
<x:worksheet xmlns:x="http://schemas.openxmlformats.org/spreadsheetml/2006/main">
  <x:sheetFormatPr defaultRowHeight="15"/>
  <x:cols>
    <x:col min="1" max="1" width="28" hidden="0" customWidth="1"/>
    <x:col min="2" max="2" width="24" hidden="0" customWidth="1"/>
    <x:col min="3" max="3" width="26" hidden="0" customWidth="1"/>
    <x:col min="4" max="4" width="13" hidden="0" customWidth="1"/>
    <x:col min="5" max="5" width="12" hidden="0" customWidth="1"/>
    <x:col min="6" max="6" width="14" hidden="0" customWidth="1"/>
    <x:col min="7" max="7" width="12" hidden="0" customWidth="1"/>
    <x:col min="8" max="8" width="10" hidden="0" customWidth="1"/>
    <x:col min="9" max="9" width="10" hidden="0" customWidth="1"/>
    <x:col min="10" max="10" width="55" hidden="0" customWidth="1"/>
    <x:col min="11" max="11" width="36" hidden="0" customWidth="1"/>
    <x:col min="12" max="12" width="14" hidden="0" customWidth="1"/>
    <x:col min="13" max="13" width="16" hidden="0" customWidth="1"/>
    <x:col min="14" max="14" width="32" hidden="0" customWidth="1"/>
    <x:col min="15" max="15" width="22" hidden="0" customWidth="1"/>
    <x:col min="16" max="16" width="26" hidden="0" customWidth="1"/>
    <x:col min="17" max="17" width="28" hidden="0" customWidth="1"/>
    <x:col min="18" max="18" width="10" hidden="0" customWidth="1"/>
    <x:col min="19" max="19" width="45" hidden="0" customWidth="1"/>
  </x:cols>
  <x:sheetData>
    <x:row r="1" ht="28" customHeight="1">
      <x:c r="A1" s="10" t="str">
        <x:v>id</x:v>
      </x:c>
      <x:c r="B1" s="10" t="str">
        <x:v>slug</x:v>
      </x:c>
      <x:c r="C1" s="10" t="str">
        <x:v>name</x:v>
      </x:c>
      <x:c r="D1" s="10" t="str">
        <x:v>faction</x:v>
      </x:c>
      <x:c r="E1" s="10" t="str">
        <x:v>type</x:v>
      </x:c>
      <x:c r="F1" s="10" t="str">
        <x:v>subtype</x:v>
      </x:c>
      <x:c r="G1" s="10" t="str">
        <x:v>spirit_cost</x:v>
      </x:c>
      <x:c r="H1" s="10" t="str">
        <x:v>attack</x:v>
      </x:c>
      <x:c r="I1" s="10" t="str">
        <x:v>health</x:v>
      </x:c>
      <x:c r="J1" s="10" t="str">
        <x:v>rules_text</x:v>
      </x:c>
      <x:c r="K1" s="10" t="str">
        <x:v>effect_key</x:v>
      </x:c>
      <x:c r="L1" s="10" t="str">
        <x:v>amount</x:v>
      </x:c>
      <x:c r="M1" s="10" t="str">
        <x:v>secondary_amount</x:v>
      </x:c>
      <x:c r="N1" s="10" t="str">
        <x:v>target</x:v>
      </x:c>
      <x:c r="O1" s="10" t="str">
        <x:v>duration</x:v>
      </x:c>
      <x:c r="P1" s="10" t="str">
        <x:v>image_file</x:v>
      </x:c>
      <x:c r="Q1" s="10" t="str">
        <x:v>source_file</x:v>
      </x:c>
      <x:c r="R1" s="10" t="str">
        <x:v>rarity</x:v>
      </x:c>
      <x:c r="S1" s="10" t="str">
        <x:v>notes</x:v>
      </x:c>
    </x:row>
    <x:row r="2" ht="60" customHeight="1">
      <x:c r="A2" s="38" t="str">
        <x:v>item_high_tea</x:v>
      </x:c>
      <x:c r="B2" s="38" t="str">
        <x:v>high-tea</x:v>
      </x:c>
      <x:c r="C2" s="38" t="str">
        <x:v>High Tea</x:v>
      </x:c>
      <x:c r="D2" s="39" t="str">
        <x:v>Neutral</x:v>
      </x:c>
      <x:c r="E2" s="39" t="str">
        <x:v>Item</x:v>
      </x:c>
      <x:c r="F2" s="39" t="str">
        <x:v>Prevent</x:v>
      </x:c>
      <x:c r="G2" s="40" t="n">
        <x:v>1</x:v>
      </x:c>
      <x:c r="H2" s="40"/>
      <x:c r="I2" s="40"/>
      <x:c r="J2" s="38" t="str">
        <x:v>If you have 2 or more Warriors on your side of the field: select 1. That Warrior can’t be attacked this turn. Your opponent’s Warriors can sacrifice 1000 HEALTH to attack any other Warrior you control.</x:v>
      </x:c>
      <x:c r="K2" s="38" t="str">
        <x:v>protect_one_warrior_with_health_sacrifice_bypass</x:v>
      </x:c>
      <x:c r="L2" s="40" t="n">
        <x:v>1000</x:v>
      </x:c>
      <x:c r="M2" s="40"/>
      <x:c r="N2" s="38" t="str">
        <x:v>friendly_warrior; opponent_warriors</x:v>
      </x:c>
      <x:c r="O2" s="38" t="str">
        <x:v>this_turn</x:v>
      </x:c>
      <x:c r="P2" s="38" t="str">
        <x:v>high-tea.webp</x:v>
      </x:c>
      <x:c r="Q2" s="38" t="str">
        <x:v>High Tea.png</x:v>
      </x:c>
      <x:c r="R2" s="39" t="str">
        <x:v>Beta</x:v>
      </x:c>
      <x:c r="S2" s="38" t="str">
        <x:v>Prevention effect requires at least 2 Warriors on your side of the field. Opponent can pay/sacrifice 1000 HEALTH to bypass onto another valid target.</x:v>
      </x:c>
    </x:row>
    <x:row r="3" ht="60" customHeight="1">
      <x:c r="A3" s="38" t="str">
        <x:v>item_a_dragons_judgement</x:v>
      </x:c>
      <x:c r="B3" s="38" t="str">
        <x:v>a-dragons-judgement</x:v>
      </x:c>
      <x:c r="C3" s="38" t="str">
        <x:v>A Dragon’s Judgement</x:v>
      </x:c>
      <x:c r="D3" s="39" t="str">
        <x:v>Neutral</x:v>
      </x:c>
      <x:c r="E3" s="39" t="str">
        <x:v>Item</x:v>
      </x:c>
      <x:c r="F3" s="39" t="str">
        <x:v>Combat</x:v>
      </x:c>
      <x:c r="G3" s="40" t="n">
        <x:v>1</x:v>
      </x:c>
      <x:c r="H3" s="40"/>
      <x:c r="I3" s="40"/>
      <x:c r="J3" s="38" t="str">
        <x:v>Until your next turn, any Warrior that attacks a Monk loses 1000 HEALTH.</x:v>
      </x:c>
      <x:c r="K3" s="38" t="str">
        <x:v>monk_retaliation_health_loss_until_next_turn</x:v>
      </x:c>
      <x:c r="L3" s="40" t="n">
        <x:v>1000</x:v>
      </x:c>
      <x:c r="M3" s="40"/>
      <x:c r="N3" s="38" t="str">
        <x:v>warriors_attacking_monk</x:v>
      </x:c>
      <x:c r="O3" s="38" t="str">
        <x:v>until_your_next_turn</x:v>
      </x:c>
      <x:c r="P3" s="38" t="str">
        <x:v>a-dragons-judgement.webp</x:v>
      </x:c>
      <x:c r="Q3" s="38" t="str">
        <x:v>A Dragon's Judgement.png</x:v>
      </x:c>
      <x:c r="R3" s="39" t="str">
        <x:v>Beta</x:v>
      </x:c>
      <x:c r="S3" s="38" t="str">
        <x:v>Card text has been normalized from the image typo ‘thst’ to ‘that’.</x:v>
      </x:c>
    </x:row>
    <x:row r="4" ht="60" customHeight="1">
      <x:c r="A4" s="38" t="str">
        <x:v>item_a_thiefs_pride</x:v>
      </x:c>
      <x:c r="B4" s="38" t="str">
        <x:v>a-thiefs-pride</x:v>
      </x:c>
      <x:c r="C4" s="38" t="str">
        <x:v>A Thief’s Pride</x:v>
      </x:c>
      <x:c r="D4" s="39" t="str">
        <x:v>Neutral</x:v>
      </x:c>
      <x:c r="E4" s="39" t="str">
        <x:v>Item</x:v>
      </x:c>
      <x:c r="F4" s="39" t="str">
        <x:v>Provision</x:v>
      </x:c>
      <x:c r="G4" s="40" t="n">
        <x:v>1</x:v>
      </x:c>
      <x:c r="H4" s="40"/>
      <x:c r="I4" s="40"/>
      <x:c r="J4" s="38" t="str">
        <x:v>Your opponent reveals their hand. Take 1 Item card and add it to your hand.</x:v>
      </x:c>
      <x:c r="K4" s="38" t="str">
        <x:v>steal_item_from_revealed_hand</x:v>
      </x:c>
      <x:c r="L4" s="40" t="n">
        <x:v>1</x:v>
      </x:c>
      <x:c r="M4" s="40"/>
      <x:c r="N4" s="38" t="str">
        <x:v>opponent_hand_item_card</x:v>
      </x:c>
      <x:c r="O4" s="38" t="str">
        <x:v>instant</x:v>
      </x:c>
      <x:c r="P4" s="38" t="str">
        <x:v>a-thiefs-pride.webp</x:v>
      </x:c>
      <x:c r="Q4" s="38" t="str">
        <x:v>A Thief’s Pride.png</x:v>
      </x:c>
      <x:c r="R4" s="39" t="str">
        <x:v>Beta</x:v>
      </x:c>
      <x:c r="S4" s="38" t="str">
        <x:v>May need final rules language for what happens if opponent has no Item cards in hand.</x:v>
      </x:c>
    </x:row>
    <x:row r="5" ht="60" customHeight="1">
      <x:c r="A5" s="38" t="str">
        <x:v>item_anansis_highway</x:v>
      </x:c>
      <x:c r="B5" s="38" t="str">
        <x:v>anansis-highway</x:v>
      </x:c>
      <x:c r="C5" s="38" t="str">
        <x:v>Anansi’s Highway</x:v>
      </x:c>
      <x:c r="D5" s="39" t="str">
        <x:v>Neutral</x:v>
      </x:c>
      <x:c r="E5" s="39" t="str">
        <x:v>Item</x:v>
      </x:c>
      <x:c r="F5" s="39" t="str">
        <x:v>Provision</x:v>
      </x:c>
      <x:c r="G5" s="40" t="n">
        <x:v>1</x:v>
      </x:c>
      <x:c r="H5" s="40"/>
      <x:c r="I5" s="40"/>
      <x:c r="J5" s="38" t="str">
        <x:v>Add 1 Dwarf Warrior to your hand.</x:v>
      </x:c>
      <x:c r="K5" s="38" t="str">
        <x:v>add_dwarf_warrior_to_hand</x:v>
      </x:c>
      <x:c r="L5" s="40" t="n">
        <x:v>1</x:v>
      </x:c>
      <x:c r="M5" s="40"/>
      <x:c r="N5" s="38" t="str">
        <x:v>dwarf_warrior</x:v>
      </x:c>
      <x:c r="O5" s="38" t="str">
        <x:v>instant</x:v>
      </x:c>
      <x:c r="P5" s="38" t="str">
        <x:v>anansis-highway.webp</x:v>
      </x:c>
      <x:c r="Q5" s="38" t="str">
        <x:v>Anansi’s Highway.png</x:v>
      </x:c>
      <x:c r="R5" s="39" t="str">
        <x:v>Beta</x:v>
      </x:c>
      <x:c r="S5" s="38" t="str">
        <x:v>Final rules should specify whether the Dwarf Warrior is searched from deck, discard, or another zone.</x:v>
      </x:c>
    </x:row>
    <x:row r="6" ht="60" customHeight="1">
      <x:c r="A6" s="38" t="str">
        <x:v>item_best_friends_bond</x:v>
      </x:c>
      <x:c r="B6" s="38" t="str">
        <x:v>best-friends-bond</x:v>
      </x:c>
      <x:c r="C6" s="38" t="str">
        <x:v>Best Friend’s Bond</x:v>
      </x:c>
      <x:c r="D6" s="39" t="str">
        <x:v>Neutral</x:v>
      </x:c>
      <x:c r="E6" s="39" t="str">
        <x:v>Item</x:v>
      </x:c>
      <x:c r="F6" s="39" t="str">
        <x:v>Provision</x:v>
      </x:c>
      <x:c r="G6" s="40" t="n">
        <x:v>1</x:v>
      </x:c>
      <x:c r="H6" s="40"/>
      <x:c r="I6" s="40"/>
      <x:c r="J6" s="38" t="str">
        <x:v>If you have 2 Warriors of the same type on the field, gain 1 Spirit.</x:v>
      </x:c>
      <x:c r="K6" s="38" t="str">
        <x:v>gain_spirit_if_two_same_type_warriors</x:v>
      </x:c>
      <x:c r="L6" s="40" t="n">
        <x:v>1</x:v>
      </x:c>
      <x:c r="M6" s="40"/>
      <x:c r="N6" s="38" t="str">
        <x:v>self_spirit</x:v>
      </x:c>
      <x:c r="O6" s="38" t="str">
        <x:v>instant</x:v>
      </x:c>
      <x:c r="P6" s="38" t="str">
        <x:v>best-friends-bond.webp</x:v>
      </x:c>
      <x:c r="Q6" s="38" t="str">
        <x:v>Best Friend’s Bond.png</x:v>
      </x:c>
      <x:c r="R6" s="39" t="str">
        <x:v>Beta</x:v>
      </x:c>
      <x:c r="S6" s="38" t="str">
        <x:v>‘Same type’ should be defined as faction/race, subtype, or Warrior type in final rulebook.</x:v>
      </x:c>
    </x:row>
    <x:row r="7" ht="60" customHeight="1">
      <x:c r="A7" s="38" t="str">
        <x:v>item_choir_of_pyrois</x:v>
      </x:c>
      <x:c r="B7" s="38" t="str">
        <x:v>choir-of-pyrois</x:v>
      </x:c>
      <x:c r="C7" s="38" t="str">
        <x:v>Choir of Pyrois</x:v>
      </x:c>
      <x:c r="D7" s="39" t="str">
        <x:v>Neutral</x:v>
      </x:c>
      <x:c r="E7" s="39" t="str">
        <x:v>Item</x:v>
      </x:c>
      <x:c r="F7" s="39" t="str">
        <x:v>Combat</x:v>
      </x:c>
      <x:c r="G7" s="40" t="n">
        <x:v>1</x:v>
      </x:c>
      <x:c r="H7" s="40"/>
      <x:c r="I7" s="40"/>
      <x:c r="J7" s="38" t="str">
        <x:v>Choose 1 Monk Warrior on your side of the field. It can attack twice this turn.</x:v>
      </x:c>
      <x:c r="K7" s="38" t="str">
        <x:v>monk_warrior_attack_twice_this_turn</x:v>
      </x:c>
      <x:c r="L7" s="40" t="n">
        <x:v>1</x:v>
      </x:c>
      <x:c r="M7" s="40"/>
      <x:c r="N7" s="38" t="str">
        <x:v>friendly_monk_warrior</x:v>
      </x:c>
      <x:c r="O7" s="38" t="str">
        <x:v>this_turn</x:v>
      </x:c>
      <x:c r="P7" s="38" t="str">
        <x:v>choir-of-pyrois.webp</x:v>
      </x:c>
      <x:c r="Q7" s="38" t="str">
        <x:v>Choir of Pyrois.png</x:v>
      </x:c>
      <x:c r="R7" s="39" t="str">
        <x:v>Beta</x:v>
      </x:c>
      <x:c r="S7" s="38" t="str">
        <x:v>Card text has been normalized from ‘Warriors’/‘you side’ to singular rules wording.</x:v>
      </x:c>
    </x:row>
    <x:row r="8" ht="60" customHeight="1">
      <x:c r="A8" s="38" t="str">
        <x:v>item_coerced_loyalty</x:v>
      </x:c>
      <x:c r="B8" s="38" t="str">
        <x:v>coerced-loyalty</x:v>
      </x:c>
      <x:c r="C8" s="38" t="str">
        <x:v>Coerced Loyalty</x:v>
      </x:c>
      <x:c r="D8" s="39" t="str">
        <x:v>Neutral</x:v>
      </x:c>
      <x:c r="E8" s="39" t="str">
        <x:v>Item</x:v>
      </x:c>
      <x:c r="F8" s="39" t="str">
        <x:v>Combat</x:v>
      </x:c>
      <x:c r="G8" s="40" t="n">
        <x:v>1</x:v>
      </x:c>
      <x:c r="H8" s="40"/>
      <x:c r="I8" s="40"/>
      <x:c r="J8" s="38" t="str">
        <x:v>Select 1 Warrior on your opponent’s side of the field. Take control of that Warrior. At the start of their turn, your opponent can accept 5000 damage to that Warrior to regain control.</x:v>
      </x:c>
      <x:c r="K8" s="38" t="str">
        <x:v>temporary_control_steal_with_damage_buyback</x:v>
      </x:c>
      <x:c r="L8" s="40" t="n">
        <x:v>1</x:v>
      </x:c>
      <x:c r="M8" s="40" t="n">
        <x:v>5000</x:v>
      </x:c>
      <x:c r="N8" s="38" t="str">
        <x:v>opponent_warrior</x:v>
      </x:c>
      <x:c r="O8" s="38" t="str">
        <x:v>until_opponent_pays_damage_or_indefinite</x:v>
      </x:c>
      <x:c r="P8" s="38" t="str">
        <x:v>coerced-loyalty.webp</x:v>
      </x:c>
      <x:c r="Q8" s="38" t="str">
        <x:v>Coerced Loyalty(1).png</x:v>
      </x:c>
      <x:c r="R8" s="39" t="str">
        <x:v>Beta</x:v>
      </x:c>
      <x:c r="S8" s="38" t="str">
        <x:v>Needs final timing language for control duration if opponent declines the 5000 damage option.</x:v>
      </x:c>
    </x:row>
    <x:row r="9" ht="60" customHeight="1">
      <x:c r="A9" s="38" t="str">
        <x:v>item_cryraven_circus</x:v>
      </x:c>
      <x:c r="B9" s="38" t="str">
        <x:v>cryraven-circus</x:v>
      </x:c>
      <x:c r="C9" s="38" t="str">
        <x:v>Cryraven Circus</x:v>
      </x:c>
      <x:c r="D9" s="39" t="str">
        <x:v>Neutral</x:v>
      </x:c>
      <x:c r="E9" s="39" t="str">
        <x:v>Item</x:v>
      </x:c>
      <x:c r="F9" s="39" t="str">
        <x:v>Healing</x:v>
      </x:c>
      <x:c r="G9" s="40" t="n">
        <x:v>1</x:v>
      </x:c>
      <x:c r="H9" s="40"/>
      <x:c r="I9" s="40"/>
      <x:c r="J9" s="38" t="str">
        <x:v>Every Warrior on your side of the field gains 750 HEALTH.</x:v>
      </x:c>
      <x:c r="K9" s="38" t="str">
        <x:v>team_health_gain</x:v>
      </x:c>
      <x:c r="L9" s="40" t="n">
        <x:v>750</x:v>
      </x:c>
      <x:c r="M9" s="40"/>
      <x:c r="N9" s="38" t="str">
        <x:v>friendly_warriors</x:v>
      </x:c>
      <x:c r="O9" s="38" t="str">
        <x:v>instant_or_persistent_health_gain</x:v>
      </x:c>
      <x:c r="P9" s="38" t="str">
        <x:v>cryraven-circus.webp</x:v>
      </x:c>
      <x:c r="Q9" s="38" t="str">
        <x:v>Cryraven Circus.png</x:v>
      </x:c>
      <x:c r="R9" s="39" t="str">
        <x:v>Beta</x:v>
      </x:c>
      <x:c r="S9" s="38" t="str">
        <x:v>Uses HEALTH gain wording for consistency with other card text.</x:v>
      </x:c>
    </x:row>
    <x:row r="10" ht="60" customHeight="1">
      <x:c r="A10" s="38" t="str">
        <x:v>item_flame_training</x:v>
      </x:c>
      <x:c r="B10" s="38" t="str">
        <x:v>flame-training</x:v>
      </x:c>
      <x:c r="C10" s="38" t="str">
        <x:v>Flame Training</x:v>
      </x:c>
      <x:c r="D10" s="39" t="str">
        <x:v>Neutral</x:v>
      </x:c>
      <x:c r="E10" s="39" t="str">
        <x:v>Item</x:v>
      </x:c>
      <x:c r="F10" s="39" t="str">
        <x:v>Provision</x:v>
      </x:c>
      <x:c r="G10" s="40" t="n">
        <x:v>1</x:v>
      </x:c>
      <x:c r="H10" s="40"/>
      <x:c r="I10" s="40"/>
      <x:c r="J10" s="38" t="str">
        <x:v>All Monk Warriors on your side of the field gain 500 ATTACK this turn.</x:v>
      </x:c>
      <x:c r="K10" s="38" t="str">
        <x:v>friendly_monk_attack_buff_this_turn</x:v>
      </x:c>
      <x:c r="L10" s="40" t="n">
        <x:v>500</x:v>
      </x:c>
      <x:c r="M10" s="40"/>
      <x:c r="N10" s="38" t="str">
        <x:v>friendly_monk_warriors</x:v>
      </x:c>
      <x:c r="O10" s="38" t="str">
        <x:v>this_turn</x:v>
      </x:c>
      <x:c r="P10" s="38" t="str">
        <x:v>flame-training.webp</x:v>
      </x:c>
      <x:c r="Q10" s="38" t="str">
        <x:v>Flame Training.png</x:v>
      </x:c>
      <x:c r="R10" s="39" t="str">
        <x:v>Beta</x:v>
      </x:c>
      <x:c r="S10" s="38"/>
    </x:row>
    <x:row r="11" ht="60" customHeight="1">
      <x:c r="A11" s="38" t="str">
        <x:v>item_gils_unit</x:v>
      </x:c>
      <x:c r="B11" s="38" t="str">
        <x:v>gils-unit</x:v>
      </x:c>
      <x:c r="C11" s="38" t="str">
        <x:v>GILs Unit</x:v>
      </x:c>
      <x:c r="D11" s="39" t="str">
        <x:v>Neutral</x:v>
      </x:c>
      <x:c r="E11" s="39" t="str">
        <x:v>Item</x:v>
      </x:c>
      <x:c r="F11" s="39" t="str">
        <x:v>Healing</x:v>
      </x:c>
      <x:c r="G11" s="40" t="n">
        <x:v>1</x:v>
      </x:c>
      <x:c r="H11" s="40"/>
      <x:c r="I11" s="40"/>
      <x:c r="J11" s="38" t="str">
        <x:v>Put 1 Warrior on your side of the field out of play for 3 turns. When they return, restore their HEALTH to its original amount.</x:v>
      </x:c>
      <x:c r="K11" s="38" t="str">
        <x:v>temporary_out_of_play_then_restore_health</x:v>
      </x:c>
      <x:c r="L11" s="40" t="n">
        <x:v>1</x:v>
      </x:c>
      <x:c r="M11" s="40" t="n">
        <x:v>3</x:v>
      </x:c>
      <x:c r="N11" s="38" t="str">
        <x:v>friendly_warrior</x:v>
      </x:c>
      <x:c r="O11" s="38" t="str">
        <x:v>3_turns</x:v>
      </x:c>
      <x:c r="P11" s="38" t="str">
        <x:v>gils-unit.webp</x:v>
      </x:c>
      <x:c r="Q11" s="38" t="str">
        <x:v>GILs Unit.png</x:v>
      </x:c>
      <x:c r="R11" s="39" t="str">
        <x:v>Beta</x:v>
      </x:c>
      <x:c r="S11" s="38" t="str">
        <x:v>Final rules should define whether ‘original amount’ means printed HEALTH, pre-damage HEALTH, or max HEALTH.</x:v>
      </x:c>
    </x:row>
    <x:row r="12" ht="60" customHeight="1">
      <x:c r="A12" s="38" t="str">
        <x:v>item_gorgons_eye</x:v>
      </x:c>
      <x:c r="B12" s="38" t="str">
        <x:v>gorgons-eye</x:v>
      </x:c>
      <x:c r="C12" s="38" t="str">
        <x:v>Gorgon’s Eye</x:v>
      </x:c>
      <x:c r="D12" s="39" t="str">
        <x:v>Neutral</x:v>
      </x:c>
      <x:c r="E12" s="39" t="str">
        <x:v>Item</x:v>
      </x:c>
      <x:c r="F12" s="39" t="str">
        <x:v>Prevent</x:v>
      </x:c>
      <x:c r="G12" s="40" t="n">
        <x:v>1</x:v>
      </x:c>
      <x:c r="H12" s="40"/>
      <x:c r="I12" s="40"/>
      <x:c r="J12" s="38" t="str">
        <x:v>No attacks can be declared until your next turn.</x:v>
      </x:c>
      <x:c r="K12" s="38" t="str">
        <x:v>prevent_all_attacks_until_next_turn</x:v>
      </x:c>
      <x:c r="L12" s="40"/>
      <x:c r="M12" s="40"/>
      <x:c r="N12" s="38" t="str">
        <x:v>all_players_attack_declaration</x:v>
      </x:c>
      <x:c r="O12" s="38" t="str">
        <x:v>until_your_next_turn</x:v>
      </x:c>
      <x:c r="P12" s="38" t="str">
        <x:v>gorgons-eye.webp</x:v>
      </x:c>
      <x:c r="Q12" s="38" t="str">
        <x:v>Gorgon’s Eye.png</x:v>
      </x:c>
      <x:c r="R12" s="39" t="str">
        <x:v>Beta</x:v>
      </x:c>
      <x:c r="S12" s="38" t="str">
        <x:v>Global attack-prevention effect.</x:v>
      </x:c>
    </x:row>
    <x:row r="13" ht="60" customHeight="1">
      <x:c r="A13" s="38" t="str">
        <x:v>item_greenskin_auction_house</x:v>
      </x:c>
      <x:c r="B13" s="38" t="str">
        <x:v>greenskin-auction-house</x:v>
      </x:c>
      <x:c r="C13" s="38" t="str">
        <x:v>Greenskin Auction House</x:v>
      </x:c>
      <x:c r="D13" s="39" t="str">
        <x:v>Neutral</x:v>
      </x:c>
      <x:c r="E13" s="39" t="str">
        <x:v>Item</x:v>
      </x:c>
      <x:c r="F13" s="39" t="str">
        <x:v>Provision</x:v>
      </x:c>
      <x:c r="G13" s="40" t="n">
        <x:v>1</x:v>
      </x:c>
      <x:c r="H13" s="40"/>
      <x:c r="I13" s="40"/>
      <x:c r="J13" s="38" t="str">
        <x:v>Add 1 Weapon from your deck to your hand.</x:v>
      </x:c>
      <x:c r="K13" s="38" t="str">
        <x:v>tutor_weapon_from_deck</x:v>
      </x:c>
      <x:c r="L13" s="40" t="n">
        <x:v>1</x:v>
      </x:c>
      <x:c r="M13" s="40"/>
      <x:c r="N13" s="38" t="str">
        <x:v>weapon_card_in_deck</x:v>
      </x:c>
      <x:c r="O13" s="38" t="str">
        <x:v>instant</x:v>
      </x:c>
      <x:c r="P13" s="38" t="str">
        <x:v>greenskin-auction-house.webp</x:v>
      </x:c>
      <x:c r="Q13" s="38" t="str">
        <x:v>Greenskin Auction House.png</x:v>
      </x:c>
      <x:c r="R13" s="39" t="str">
        <x:v>Beta</x:v>
      </x:c>
      <x:c r="S13" s="38" t="str">
        <x:v>Search/tutor effect; final rules should specify reveal/shuffle procedure.</x:v>
      </x:c>
    </x:row>
    <x:row r="14" ht="60" customHeight="1">
      <x:c r="A14" s="38" t="str">
        <x:v>item_greenskin_kiln_co</x:v>
      </x:c>
      <x:c r="B14" s="38" t="str">
        <x:v>greenskin-kiln-co</x:v>
      </x:c>
      <x:c r="C14" s="38" t="str">
        <x:v>Greenskin Kiln Co.</x:v>
      </x:c>
      <x:c r="D14" s="39" t="str">
        <x:v>Neutral</x:v>
      </x:c>
      <x:c r="E14" s="39" t="str">
        <x:v>Item</x:v>
      </x:c>
      <x:c r="F14" s="39" t="str">
        <x:v>Provision</x:v>
      </x:c>
      <x:c r="G14" s="40" t="n">
        <x:v>1</x:v>
      </x:c>
      <x:c r="H14" s="40"/>
      <x:c r="I14" s="40"/>
      <x:c r="J14" s="38" t="str">
        <x:v>Add 1 Weapon card to your hand.</x:v>
      </x:c>
      <x:c r="K14" s="38" t="str">
        <x:v>add_weapon_card_to_hand</x:v>
      </x:c>
      <x:c r="L14" s="40" t="n">
        <x:v>1</x:v>
      </x:c>
      <x:c r="M14" s="40"/>
      <x:c r="N14" s="38" t="str">
        <x:v>weapon_card</x:v>
      </x:c>
      <x:c r="O14" s="38" t="str">
        <x:v>instant</x:v>
      </x:c>
      <x:c r="P14" s="38" t="str">
        <x:v>greenskin-kiln-co.webp</x:v>
      </x:c>
      <x:c r="Q14" s="38" t="str">
        <x:v>Greenskin Kiln Co.png</x:v>
      </x:c>
      <x:c r="R14" s="39" t="str">
        <x:v>Beta</x:v>
      </x:c>
      <x:c r="S14" s="38" t="str">
        <x:v>Final rules should specify source zone; Auction House already specifies deck.</x:v>
      </x:c>
    </x:row>
    <x:row r="15" ht="60" customHeight="1">
      <x:c r="A15" s="38" t="str">
        <x:v>item_gunder_love</x:v>
      </x:c>
      <x:c r="B15" s="38" t="str">
        <x:v>gunder-love</x:v>
      </x:c>
      <x:c r="C15" s="38" t="str">
        <x:v>Gunder Love</x:v>
      </x:c>
      <x:c r="D15" s="39" t="str">
        <x:v>Neutral</x:v>
      </x:c>
      <x:c r="E15" s="39" t="str">
        <x:v>Item</x:v>
      </x:c>
      <x:c r="F15" s="39" t="str">
        <x:v>Healing</x:v>
      </x:c>
      <x:c r="G15" s="40" t="n">
        <x:v>1</x:v>
      </x:c>
      <x:c r="H15" s="40"/>
      <x:c r="I15" s="40"/>
      <x:c r="J15" s="38" t="str">
        <x:v>Choose 1 Warrior. That Warrior gains 1500 HEALTH.</x:v>
      </x:c>
      <x:c r="K15" s="38" t="str">
        <x:v>single_warrior_health_gain</x:v>
      </x:c>
      <x:c r="L15" s="40" t="n">
        <x:v>1500</x:v>
      </x:c>
      <x:c r="M15" s="40"/>
      <x:c r="N15" s="38" t="str">
        <x:v>one_warrior</x:v>
      </x:c>
      <x:c r="O15" s="38" t="str">
        <x:v>instant_or_persistent_health_gain</x:v>
      </x:c>
      <x:c r="P15" s="38" t="str">
        <x:v>gunder-love.webp</x:v>
      </x:c>
      <x:c r="Q15" s="38" t="str">
        <x:v>Gunder Love.png</x:v>
      </x:c>
      <x:c r="R15" s="39" t="str">
        <x:v>Beta</x:v>
      </x:c>
      <x:c r="S15" s="38"/>
    </x:row>
    <x:row r="16" ht="60" customHeight="1">
      <x:c r="A16" s="38" t="str">
        <x:v>item_heavens_door_izakaya</x:v>
      </x:c>
      <x:c r="B16" s="38" t="str">
        <x:v>heavens-door-izakaya</x:v>
      </x:c>
      <x:c r="C16" s="38" t="str">
        <x:v>Heaven’s Door Izakaya</x:v>
      </x:c>
      <x:c r="D16" s="39" t="str">
        <x:v>Neutral</x:v>
      </x:c>
      <x:c r="E16" s="39" t="str">
        <x:v>Item</x:v>
      </x:c>
      <x:c r="F16" s="39" t="str">
        <x:v>Provision</x:v>
      </x:c>
      <x:c r="G16" s="40" t="n">
        <x:v>1</x:v>
      </x:c>
      <x:c r="H16" s="40"/>
      <x:c r="I16" s="40"/>
      <x:c r="J16" s="38" t="str">
        <x:v>On your next turn, all Sonic Warriors on your side of the field gain 1000 ATTACK.</x:v>
      </x:c>
      <x:c r="K16" s="38" t="str">
        <x:v>next_turn_friendly_sonic_attack_buff</x:v>
      </x:c>
      <x:c r="L16" s="40" t="n">
        <x:v>1000</x:v>
      </x:c>
      <x:c r="M16" s="40"/>
      <x:c r="N16" s="38" t="str">
        <x:v>friendly_sonic_warriors</x:v>
      </x:c>
      <x:c r="O16" s="38" t="str">
        <x:v>your_next_turn</x:v>
      </x:c>
      <x:c r="P16" s="38" t="str">
        <x:v>heavens-door-izakaya.webp</x:v>
      </x:c>
      <x:c r="Q16" s="38" t="str">
        <x:v>Heaven’s Door Izakaya(1).png</x:v>
      </x:c>
      <x:c r="R16" s="39" t="str">
        <x:v>Beta</x:v>
      </x:c>
      <x:c r="S16" s="38"/>
    </x:row>
  </x:sheetData>
  <x:pageMargins left="0.7" right="0.7" top="0.75" bottom="0.75" header="0.3" footer="0.3"/>
  <x:tableParts count="1">
    <x:tablePart xmlns:r="http://schemas.openxmlformats.org/officeDocument/2006/relationships" r:id="R50c5334893974503"/>
  </x:tableParts>
</x:worksheet>
</file>

<file path=xl/worksheets/sheet2.xml><?xml version="1.0" encoding="utf-8"?>
<x:worksheet xmlns:x="http://schemas.openxmlformats.org/spreadsheetml/2006/main">
  <x:sheetFormatPr defaultRowHeight="15"/>
  <x:cols>
    <x:col min="1" max="1" width="28" hidden="0" customWidth="1"/>
    <x:col min="2" max="2" width="24" hidden="0" customWidth="1"/>
    <x:col min="3" max="3" width="24" hidden="0" customWidth="1"/>
    <x:col min="4" max="4" width="13" hidden="0" customWidth="1"/>
    <x:col min="5" max="5" width="12" hidden="0" customWidth="1"/>
    <x:col min="6" max="6" width="14" hidden="0" customWidth="1"/>
    <x:col min="7" max="7" width="12" hidden="0" customWidth="1"/>
    <x:col min="8" max="8" width="10" hidden="0" customWidth="1"/>
    <x:col min="9" max="9" width="10" hidden="0" customWidth="1"/>
    <x:col min="10" max="10" width="55" hidden="0" customWidth="1"/>
    <x:col min="11" max="11" width="36" hidden="0" customWidth="1"/>
    <x:col min="12" max="12" width="14" hidden="0" customWidth="1"/>
    <x:col min="13" max="13" width="16" hidden="0" customWidth="1"/>
    <x:col min="14" max="14" width="32" hidden="0" customWidth="1"/>
    <x:col min="15" max="15" width="20" hidden="0" customWidth="1"/>
    <x:col min="16" max="16" width="26" hidden="0" customWidth="1"/>
    <x:col min="17" max="17" width="28" hidden="0" customWidth="1"/>
    <x:col min="18" max="18" width="10" hidden="0" customWidth="1"/>
    <x:col min="19" max="19" width="55" hidden="0" customWidth="1"/>
  </x:cols>
  <x:sheetData>
    <x:row r="1" ht="28" customHeight="1">
      <x:c r="A1" s="44" t="str">
        <x:v>id</x:v>
      </x:c>
      <x:c r="B1" s="44" t="str">
        <x:v>slug</x:v>
      </x:c>
      <x:c r="C1" s="44" t="str">
        <x:v>name</x:v>
      </x:c>
      <x:c r="D1" s="44" t="str">
        <x:v>faction</x:v>
      </x:c>
      <x:c r="E1" s="44" t="str">
        <x:v>type</x:v>
      </x:c>
      <x:c r="F1" s="44" t="str">
        <x:v>subtype</x:v>
      </x:c>
      <x:c r="G1" s="44" t="str">
        <x:v>spirit_cost</x:v>
      </x:c>
      <x:c r="H1" s="44" t="str">
        <x:v>attack</x:v>
      </x:c>
      <x:c r="I1" s="44" t="str">
        <x:v>health</x:v>
      </x:c>
      <x:c r="J1" s="44" t="str">
        <x:v>rules_text</x:v>
      </x:c>
      <x:c r="K1" s="44" t="str">
        <x:v>effect_key</x:v>
      </x:c>
      <x:c r="L1" s="44" t="str">
        <x:v>amount</x:v>
      </x:c>
      <x:c r="M1" s="44" t="str">
        <x:v>secondary_amount</x:v>
      </x:c>
      <x:c r="N1" s="44" t="str">
        <x:v>target</x:v>
      </x:c>
      <x:c r="O1" s="44" t="str">
        <x:v>duration</x:v>
      </x:c>
      <x:c r="P1" s="44" t="str">
        <x:v>image_file</x:v>
      </x:c>
      <x:c r="Q1" s="44" t="str">
        <x:v>source_file</x:v>
      </x:c>
      <x:c r="R1" s="44" t="str">
        <x:v>rarity</x:v>
      </x:c>
      <x:c r="S1" s="44" t="str">
        <x:v>notes</x:v>
      </x:c>
    </x:row>
    <x:row r="2" ht="70" customHeight="1">
      <x:c r="A2" s="38" t="str">
        <x:v>attack_serfs_bondage</x:v>
      </x:c>
      <x:c r="B2" s="38" t="str">
        <x:v>serfs-bondage</x:v>
      </x:c>
      <x:c r="C2" s="38" t="str">
        <x:v>Serf’s Bondage</x:v>
      </x:c>
      <x:c r="D2" s="39" t="str">
        <x:v>Surfer</x:v>
      </x:c>
      <x:c r="E2" s="39" t="str">
        <x:v>Attack</x:v>
      </x:c>
      <x:c r="F2" s="39" t="str">
        <x:v>Lingering</x:v>
      </x:c>
      <x:c r="G2" s="39" t="n">
        <x:v>1</x:v>
      </x:c>
      <x:c r="H2" s="39"/>
      <x:c r="I2" s="39"/>
      <x:c r="J2" s="38" t="str">
        <x:v>Deal 1000 damage to up to 2 Warriors on your opponent’s side of the field. These Warriors cannot attack on their next turn.</x:v>
      </x:c>
      <x:c r="K2" s="38" t="str">
        <x:v>damage_up_to_two_and_disable_next_turn</x:v>
      </x:c>
      <x:c r="L2" s="38" t="n">
        <x:v>1000</x:v>
      </x:c>
      <x:c r="M2" s="38" t="n">
        <x:v>2</x:v>
      </x:c>
      <x:c r="N2" s="38" t="str">
        <x:v>up_to_2_opponent_warriors</x:v>
      </x:c>
      <x:c r="O2" s="38" t="str">
        <x:v>next_turn</x:v>
      </x:c>
      <x:c r="P2" s="38" t="str">
        <x:v>serfs-bondage.webp</x:v>
      </x:c>
      <x:c r="Q2" s="38" t="str">
        <x:v>Apathetic Restraint(1).png</x:v>
      </x:c>
      <x:c r="R2" s="38" t="str">
        <x:v>Beta</x:v>
      </x:c>
      <x:c r="S2" s="38" t="str">
        <x:v>Included in the upload batch but labeled ATTACK on the card, not ITEM. It also appears in the Surfer spreadsheet as Serf’s Bondage.</x:v>
      </x:c>
    </x:row>
  </x:sheetData>
  <x:pageMargins left="0.7" right="0.7" top="0.75" bottom="0.75" header="0.3" footer="0.3"/>
  <x:tableParts count="1">
    <x:tablePart xmlns:r="http://schemas.openxmlformats.org/officeDocument/2006/relationships" r:id="Ra83650ab3a4a419a"/>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42" hidden="0" customWidth="1"/>
    <x:col min="4" max="4" width="48" hidden="0" customWidth="1"/>
  </x:cols>
  <x:sheetData>
    <x:row r="1" ht="28" customHeight="1">
      <x:c r="A1" s="10" t="str">
        <x:v>Card Class</x:v>
      </x:c>
      <x:c r="B1" s="10" t="str">
        <x:v>Spirit Cost</x:v>
      </x:c>
      <x:c r="C1" s="10" t="str">
        <x:v>Rule</x:v>
      </x:c>
      <x:c r="D1" s="10" t="str">
        <x:v>Notes</x:v>
      </x:c>
    </x:row>
    <x:row r="2">
      <x:c r="A2" s="38" t="str">
        <x:v>Item</x:v>
      </x:c>
      <x:c r="B2" s="38" t="n">
        <x:v>1</x:v>
      </x:c>
      <x:c r="C2" s="38" t="str">
        <x:v>All item cards cost 1 Spirit.</x:v>
      </x:c>
      <x:c r="D2" s="38" t="str">
        <x:v>Applied to every row in Item Cards sheet.</x:v>
      </x:c>
    </x:row>
    <x:row r="3">
      <x:c r="A3" s="38" t="str">
        <x:v>Attack</x:v>
      </x:c>
      <x:c r="B3" s="38" t="n">
        <x:v>1</x:v>
      </x:c>
      <x:c r="C3" s="38" t="str">
        <x:v>Standard Attack card cost from existing beta sheets.</x:v>
      </x:c>
      <x:c r="D3" s="38" t="str">
        <x:v>Included only for the Non-Item Upload reference row.</x:v>
      </x:c>
    </x:row>
    <x:row r="4">
      <x:c r="A4" s="38" t="str">
        <x:v>Weapon</x:v>
      </x:c>
      <x:c r="B4" s="38" t="n">
        <x:v>2</x:v>
      </x:c>
      <x:c r="C4" s="38" t="str">
        <x:v>All weapon cards cost 2 Spirit.</x:v>
      </x:c>
      <x:c r="D4" s="38" t="str">
        <x:v>From the prior weapons-card instruction.</x:v>
      </x:c>
    </x:row>
  </x:sheetData>
  <x:pageMargins left="0.7" right="0.7" top="0.75" bottom="0.75" header="0.3" footer="0.3"/>
  <x:tableParts count="1">
    <x:tablePart xmlns:r="http://schemas.openxmlformats.org/officeDocument/2006/relationships" r:id="R88d17a75d6a74a94"/>
  </x:tableParts>
</x:worksheet>
</file>

<file path=xl/worksheets/sheet4.xml><?xml version="1.0" encoding="utf-8"?>
<x:worksheet xmlns:x="http://schemas.openxmlformats.org/spreadsheetml/2006/main">
  <x:sheetFormatPr defaultRowHeight="15"/>
  <x:cols>
    <x:col min="1" max="1" width="42" hidden="0" customWidth="1"/>
    <x:col min="2" max="2" width="20" hidden="0" customWidth="1"/>
    <x:col min="3" max="3" width="16" hidden="0" customWidth="1"/>
    <x:col min="4" max="4" width="18" hidden="0" customWidth="1"/>
    <x:col min="5" max="5" width="32" hidden="0" customWidth="1"/>
    <x:col min="6" max="6" width="24" hidden="0" customWidth="1"/>
    <x:col min="7" max="7" width="55" hidden="0" customWidth="1"/>
  </x:cols>
  <x:sheetData>
    <x:row r="1">
      <x:c r="A1" s="10" t="str">
        <x:v>effect_key</x:v>
      </x:c>
      <x:c r="B1" s="10" t="str">
        <x:v>Rules Engine Category</x:v>
      </x:c>
      <x:c r="C1" s="10" t="str">
        <x:v>Primary Amount</x:v>
      </x:c>
      <x:c r="D1" s="10" t="str">
        <x:v>Secondary Amount</x:v>
      </x:c>
      <x:c r="E1" s="10" t="str">
        <x:v>Target</x:v>
      </x:c>
      <x:c r="F1" s="10" t="str">
        <x:v>Timing/Duration</x:v>
      </x:c>
      <x:c r="G1" s="10" t="str">
        <x:v>Implementation Notes</x:v>
      </x:c>
    </x:row>
    <x:row r="2" ht="52" customHeight="1">
      <x:c r="A2" s="38" t="str">
        <x:v>protect_one_warrior_with_health_sacrifice_bypass</x:v>
      </x:c>
      <x:c r="B2" s="38" t="str">
        <x:v>Prevent</x:v>
      </x:c>
      <x:c r="C2" s="38" t="n">
        <x:v>1000</x:v>
      </x:c>
      <x:c r="D2" s="38"/>
      <x:c r="E2" s="38" t="str">
        <x:v>friendly_warrior; opponent_warriors</x:v>
      </x:c>
      <x:c r="F2" s="38" t="str">
        <x:v>this_turn</x:v>
      </x:c>
      <x:c r="G2" s="38" t="str">
        <x:v>Prevention effect requires at least 2 Warriors on your side of the field. Opponent can pay/sacrifice 1000 HEALTH to bypass onto another valid target.</x:v>
      </x:c>
    </x:row>
    <x:row r="3" ht="52" customHeight="1">
      <x:c r="A3" s="38" t="str">
        <x:v>monk_retaliation_health_loss_until_next_turn</x:v>
      </x:c>
      <x:c r="B3" s="38" t="str">
        <x:v>Combat</x:v>
      </x:c>
      <x:c r="C3" s="38" t="n">
        <x:v>1000</x:v>
      </x:c>
      <x:c r="D3" s="38"/>
      <x:c r="E3" s="38" t="str">
        <x:v>warriors_attacking_monk</x:v>
      </x:c>
      <x:c r="F3" s="38" t="str">
        <x:v>until_your_next_turn</x:v>
      </x:c>
      <x:c r="G3" s="38" t="str">
        <x:v>Card text has been normalized from the image typo ‘thst’ to ‘that’.</x:v>
      </x:c>
    </x:row>
    <x:row r="4" ht="52" customHeight="1">
      <x:c r="A4" s="38" t="str">
        <x:v>steal_item_from_revealed_hand</x:v>
      </x:c>
      <x:c r="B4" s="38" t="str">
        <x:v>Provision</x:v>
      </x:c>
      <x:c r="C4" s="38" t="n">
        <x:v>1</x:v>
      </x:c>
      <x:c r="D4" s="38"/>
      <x:c r="E4" s="38" t="str">
        <x:v>opponent_hand_item_card</x:v>
      </x:c>
      <x:c r="F4" s="38" t="str">
        <x:v>instant</x:v>
      </x:c>
      <x:c r="G4" s="38" t="str">
        <x:v>May need final rules language for what happens if opponent has no Item cards in hand.</x:v>
      </x:c>
    </x:row>
    <x:row r="5" ht="52" customHeight="1">
      <x:c r="A5" s="38" t="str">
        <x:v>add_dwarf_warrior_to_hand</x:v>
      </x:c>
      <x:c r="B5" s="38" t="str">
        <x:v>Provision</x:v>
      </x:c>
      <x:c r="C5" s="38" t="n">
        <x:v>1</x:v>
      </x:c>
      <x:c r="D5" s="38"/>
      <x:c r="E5" s="38" t="str">
        <x:v>dwarf_warrior</x:v>
      </x:c>
      <x:c r="F5" s="38" t="str">
        <x:v>instant</x:v>
      </x:c>
      <x:c r="G5" s="38" t="str">
        <x:v>Final rules should specify whether the Dwarf Warrior is searched from deck, discard, or another zone.</x:v>
      </x:c>
    </x:row>
    <x:row r="6" ht="52" customHeight="1">
      <x:c r="A6" s="38" t="str">
        <x:v>gain_spirit_if_two_same_type_warriors</x:v>
      </x:c>
      <x:c r="B6" s="38" t="str">
        <x:v>Provision</x:v>
      </x:c>
      <x:c r="C6" s="38" t="n">
        <x:v>1</x:v>
      </x:c>
      <x:c r="D6" s="38"/>
      <x:c r="E6" s="38" t="str">
        <x:v>self_spirit</x:v>
      </x:c>
      <x:c r="F6" s="38" t="str">
        <x:v>instant</x:v>
      </x:c>
      <x:c r="G6" s="38" t="str">
        <x:v>‘Same type’ should be defined as faction/race, subtype, or Warrior type in final rulebook.</x:v>
      </x:c>
    </x:row>
    <x:row r="7" ht="52" customHeight="1">
      <x:c r="A7" s="38" t="str">
        <x:v>monk_warrior_attack_twice_this_turn</x:v>
      </x:c>
      <x:c r="B7" s="38" t="str">
        <x:v>Combat</x:v>
      </x:c>
      <x:c r="C7" s="38" t="n">
        <x:v>1</x:v>
      </x:c>
      <x:c r="D7" s="38"/>
      <x:c r="E7" s="38" t="str">
        <x:v>friendly_monk_warrior</x:v>
      </x:c>
      <x:c r="F7" s="38" t="str">
        <x:v>this_turn</x:v>
      </x:c>
      <x:c r="G7" s="38" t="str">
        <x:v>Card text has been normalized from ‘Warriors’/‘you side’ to singular rules wording.</x:v>
      </x:c>
    </x:row>
    <x:row r="8" ht="52" customHeight="1">
      <x:c r="A8" s="38" t="str">
        <x:v>temporary_control_steal_with_damage_buyback</x:v>
      </x:c>
      <x:c r="B8" s="38" t="str">
        <x:v>Combat</x:v>
      </x:c>
      <x:c r="C8" s="38" t="n">
        <x:v>1</x:v>
      </x:c>
      <x:c r="D8" s="38" t="n">
        <x:v>5000</x:v>
      </x:c>
      <x:c r="E8" s="38" t="str">
        <x:v>opponent_warrior</x:v>
      </x:c>
      <x:c r="F8" s="38" t="str">
        <x:v>until_opponent_pays_damage_or_indefinite</x:v>
      </x:c>
      <x:c r="G8" s="38" t="str">
        <x:v>Needs final timing language for control duration if opponent declines the 5000 damage option.</x:v>
      </x:c>
    </x:row>
    <x:row r="9" ht="52" customHeight="1">
      <x:c r="A9" s="38" t="str">
        <x:v>team_health_gain</x:v>
      </x:c>
      <x:c r="B9" s="38" t="str">
        <x:v>Healing</x:v>
      </x:c>
      <x:c r="C9" s="38" t="n">
        <x:v>750</x:v>
      </x:c>
      <x:c r="D9" s="38"/>
      <x:c r="E9" s="38" t="str">
        <x:v>friendly_warriors</x:v>
      </x:c>
      <x:c r="F9" s="38" t="str">
        <x:v>instant_or_persistent_health_gain</x:v>
      </x:c>
      <x:c r="G9" s="38" t="str">
        <x:v>Uses HEALTH gain wording for consistency with other card text.</x:v>
      </x:c>
    </x:row>
    <x:row r="10" ht="52" customHeight="1">
      <x:c r="A10" s="38" t="str">
        <x:v>friendly_monk_attack_buff_this_turn</x:v>
      </x:c>
      <x:c r="B10" s="38" t="str">
        <x:v>Provision</x:v>
      </x:c>
      <x:c r="C10" s="38" t="n">
        <x:v>500</x:v>
      </x:c>
      <x:c r="D10" s="38"/>
      <x:c r="E10" s="38" t="str">
        <x:v>friendly_monk_warriors</x:v>
      </x:c>
      <x:c r="F10" s="38" t="str">
        <x:v>this_turn</x:v>
      </x:c>
      <x:c r="G10" s="38"/>
    </x:row>
    <x:row r="11" ht="52" customHeight="1">
      <x:c r="A11" s="38" t="str">
        <x:v>temporary_out_of_play_then_restore_health</x:v>
      </x:c>
      <x:c r="B11" s="38" t="str">
        <x:v>Healing</x:v>
      </x:c>
      <x:c r="C11" s="38" t="n">
        <x:v>1</x:v>
      </x:c>
      <x:c r="D11" s="38" t="n">
        <x:v>3</x:v>
      </x:c>
      <x:c r="E11" s="38" t="str">
        <x:v>friendly_warrior</x:v>
      </x:c>
      <x:c r="F11" s="38" t="str">
        <x:v>3_turns</x:v>
      </x:c>
      <x:c r="G11" s="38" t="str">
        <x:v>Final rules should define whether ‘original amount’ means printed HEALTH, pre-damage HEALTH, or max HEALTH.</x:v>
      </x:c>
    </x:row>
    <x:row r="12" ht="52" customHeight="1">
      <x:c r="A12" s="38" t="str">
        <x:v>prevent_all_attacks_until_next_turn</x:v>
      </x:c>
      <x:c r="B12" s="38" t="str">
        <x:v>Prevent</x:v>
      </x:c>
      <x:c r="C12" s="38"/>
      <x:c r="D12" s="38"/>
      <x:c r="E12" s="38" t="str">
        <x:v>all_players_attack_declaration</x:v>
      </x:c>
      <x:c r="F12" s="38" t="str">
        <x:v>until_your_next_turn</x:v>
      </x:c>
      <x:c r="G12" s="38" t="str">
        <x:v>Global attack-prevention effect.</x:v>
      </x:c>
    </x:row>
    <x:row r="13" ht="52" customHeight="1">
      <x:c r="A13" s="38" t="str">
        <x:v>tutor_weapon_from_deck</x:v>
      </x:c>
      <x:c r="B13" s="38" t="str">
        <x:v>Provision</x:v>
      </x:c>
      <x:c r="C13" s="38" t="n">
        <x:v>1</x:v>
      </x:c>
      <x:c r="D13" s="38"/>
      <x:c r="E13" s="38" t="str">
        <x:v>weapon_card_in_deck</x:v>
      </x:c>
      <x:c r="F13" s="38" t="str">
        <x:v>instant</x:v>
      </x:c>
      <x:c r="G13" s="38" t="str">
        <x:v>Search/tutor effect; final rules should specify reveal/shuffle procedure.</x:v>
      </x:c>
    </x:row>
    <x:row r="14" ht="52" customHeight="1">
      <x:c r="A14" s="38" t="str">
        <x:v>add_weapon_card_to_hand</x:v>
      </x:c>
      <x:c r="B14" s="38" t="str">
        <x:v>Provision</x:v>
      </x:c>
      <x:c r="C14" s="38" t="n">
        <x:v>1</x:v>
      </x:c>
      <x:c r="D14" s="38"/>
      <x:c r="E14" s="38" t="str">
        <x:v>weapon_card</x:v>
      </x:c>
      <x:c r="F14" s="38" t="str">
        <x:v>instant</x:v>
      </x:c>
      <x:c r="G14" s="38" t="str">
        <x:v>Final rules should specify source zone; Auction House already specifies deck.</x:v>
      </x:c>
    </x:row>
    <x:row r="15" ht="52" customHeight="1">
      <x:c r="A15" s="38" t="str">
        <x:v>single_warrior_health_gain</x:v>
      </x:c>
      <x:c r="B15" s="38" t="str">
        <x:v>Healing</x:v>
      </x:c>
      <x:c r="C15" s="38" t="n">
        <x:v>1500</x:v>
      </x:c>
      <x:c r="D15" s="38"/>
      <x:c r="E15" s="38" t="str">
        <x:v>one_warrior</x:v>
      </x:c>
      <x:c r="F15" s="38" t="str">
        <x:v>instant_or_persistent_health_gain</x:v>
      </x:c>
      <x:c r="G15" s="38"/>
    </x:row>
    <x:row r="16" ht="52" customHeight="1">
      <x:c r="A16" s="38" t="str">
        <x:v>next_turn_friendly_sonic_attack_buff</x:v>
      </x:c>
      <x:c r="B16" s="38" t="str">
        <x:v>Provision</x:v>
      </x:c>
      <x:c r="C16" s="38" t="n">
        <x:v>1000</x:v>
      </x:c>
      <x:c r="D16" s="38"/>
      <x:c r="E16" s="38" t="str">
        <x:v>friendly_sonic_warriors</x:v>
      </x:c>
      <x:c r="F16" s="38" t="str">
        <x:v>your_next_turn</x:v>
      </x:c>
      <x:c r="G16" s="38"/>
    </x:row>
    <x:row r="17" ht="52" customHeight="1">
      <x:c r="A17" s="38" t="str">
        <x:v>damage_up_to_two_and_disable_next_turn</x:v>
      </x:c>
      <x:c r="B17" s="38" t="str">
        <x:v>Lingering</x:v>
      </x:c>
      <x:c r="C17" s="38" t="n">
        <x:v>1000</x:v>
      </x:c>
      <x:c r="D17" s="38" t="n">
        <x:v>2</x:v>
      </x:c>
      <x:c r="E17" s="38" t="str">
        <x:v>up_to_2_opponent_warriors</x:v>
      </x:c>
      <x:c r="F17" s="38" t="str">
        <x:v>next_turn</x:v>
      </x:c>
      <x:c r="G17" s="38" t="str">
        <x:v>Included in the upload batch but labeled ATTACK on the card, not ITEM. It also appears in the Surfer spreadsheet as Serf’s Bondage.</x:v>
      </x:c>
    </x:row>
  </x:sheetData>
  <x:pageMargins left="0.7" right="0.7" top="0.75" bottom="0.75" header="0.3" footer="0.3"/>
  <x:tableParts count="1">
    <x:tablePart xmlns:r="http://schemas.openxmlformats.org/officeDocument/2006/relationships" r:id="Rf4be92d2725a4341"/>
  </x:tableParts>
</x:worksheet>
</file>

<file path=xl/worksheets/sheet5.xml><?xml version="1.0" encoding="utf-8"?>
<x:worksheet xmlns:x="http://schemas.openxmlformats.org/spreadsheetml/2006/main">
  <x:sheetFormatPr defaultRowHeight="15"/>
  <x:cols>
    <x:col min="1" max="1" width="28" hidden="0" customWidth="1"/>
    <x:col min="2" max="2" width="14" hidden="0" customWidth="1"/>
    <x:col min="3" max="3" width="48" hidden="0" customWidth="1"/>
    <x:col min="4" max="4" width="46" hidden="0" customWidth="1"/>
  </x:cols>
  <x:sheetData>
    <x:row r="1" ht="30" customHeight="1">
      <x:c r="A1" s="46" t="str">
        <x:v>Euphoria TCG — Item Cards Beta Spreadsheet</x:v>
      </x:c>
      <x:c r="B1" s="47"/>
      <x:c r="C1" s="47"/>
      <x:c r="D1" s="47"/>
    </x:row>
    <x:row r="2" ht="24" customHeight="1">
      <x:c r="A2" s="48" t="str">
        <x:v>Generated from uploaded Item card images. All Item cards are set to 1 Spirit.</x:v>
      </x:c>
      <x:c r="B2" s="38"/>
      <x:c r="C2" s="38"/>
      <x:c r="D2" s="38"/>
    </x:row>
    <x:row r="3">
      <x:c r="A3" s="38"/>
      <x:c r="B3" s="38"/>
      <x:c r="C3" s="38"/>
      <x:c r="D3" s="38"/>
    </x:row>
    <x:row r="4">
      <x:c r="A4" s="5" t="str">
        <x:v>Metric</x:v>
      </x:c>
      <x:c r="B4" s="5" t="str">
        <x:v>Value</x:v>
      </x:c>
      <x:c r="C4" s="5" t="str">
        <x:v>Formula/Source</x:v>
      </x:c>
      <x:c r="D4" s="5" t="str">
        <x:v>Notes</x:v>
      </x:c>
    </x:row>
    <x:row r="5">
      <x:c r="A5" s="39" t="str">
        <x:v>Total Item cards</x:v>
      </x:c>
      <x:c r="B5" s="40" t="n">
        <x:f>COUNTA('Item Cards'!A2:A100)</x:f>
        <x:v>15</x:v>
      </x:c>
      <x:c r="C5" s="38" t="n">
        <x:f>COUNTA('Item Cards'!A2:A100)</x:f>
        <x:v>15</x:v>
      </x:c>
      <x:c r="D5" s="38" t="str">
        <x:v>Excludes Non-Item Upload sheet.</x:v>
      </x:c>
    </x:row>
    <x:row r="6">
      <x:c r="A6" s="39" t="str">
        <x:v>Item cards at 1 Spirit</x:v>
      </x:c>
      <x:c r="B6" s="40" t="n">
        <x:f>COUNTIFS('Item Cards'!E2:E100,"Item",'Item Cards'!G2:G100,1)</x:f>
        <x:v>15</x:v>
      </x:c>
      <x:c r="C6" s="38" t="n">
        <x:f>COUNTIFS('Item Cards'!E2:E100,"Item",'Item Cards'!G2:G100,1)</x:f>
        <x:v>15</x:v>
      </x:c>
      <x:c r="D6" s="38" t="str">
        <x:v>Should match total Item cards.</x:v>
      </x:c>
    </x:row>
    <x:row r="7">
      <x:c r="A7" s="39" t="str">
        <x:v>Provision Items</x:v>
      </x:c>
      <x:c r="B7" s="40" t="n">
        <x:f>COUNTIF('Item Cards'!F2:F100,"Provision")</x:f>
        <x:v>7</x:v>
      </x:c>
      <x:c r="C7" s="38" t="n">
        <x:f>COUNTIF('Item Cards'!F2:F100,"Provision")</x:f>
        <x:v>7</x:v>
      </x:c>
      <x:c r="D7" s="38"/>
    </x:row>
    <x:row r="8">
      <x:c r="A8" s="39" t="str">
        <x:v>Combat Items</x:v>
      </x:c>
      <x:c r="B8" s="40" t="n">
        <x:f>COUNTIF('Item Cards'!F2:F100,"Combat")</x:f>
        <x:v>3</x:v>
      </x:c>
      <x:c r="C8" s="38" t="n">
        <x:f>COUNTIF('Item Cards'!F2:F100,"Combat")</x:f>
        <x:v>3</x:v>
      </x:c>
      <x:c r="D8" s="38"/>
    </x:row>
    <x:row r="9">
      <x:c r="A9" s="39" t="str">
        <x:v>Healing Items</x:v>
      </x:c>
      <x:c r="B9" s="40" t="n">
        <x:f>COUNTIF('Item Cards'!F2:F100,"Healing")</x:f>
        <x:v>3</x:v>
      </x:c>
      <x:c r="C9" s="38" t="n">
        <x:f>COUNTIF('Item Cards'!F2:F100,"Healing")</x:f>
        <x:v>3</x:v>
      </x:c>
      <x:c r="D9" s="38"/>
    </x:row>
    <x:row r="10">
      <x:c r="A10" s="39" t="str">
        <x:v>Prevent Items</x:v>
      </x:c>
      <x:c r="B10" s="40" t="n">
        <x:f>COUNTIF('Item Cards'!F2:F100,"Prevent")</x:f>
        <x:v>2</x:v>
      </x:c>
      <x:c r="C10" s="38" t="n">
        <x:f>COUNTIF('Item Cards'!F2:F100,"Prevent")</x:f>
        <x:v>2</x:v>
      </x:c>
      <x:c r="D10" s="38"/>
    </x:row>
    <x:row r="11">
      <x:c r="A11" s="39" t="str">
        <x:v>Non-item upload rows</x:v>
      </x:c>
      <x:c r="B11" s="40" t="n">
        <x:f>COUNTA('Non-Item Upload'!A2:A100)</x:f>
        <x:v>1</x:v>
      </x:c>
      <x:c r="C11" s="38" t="n">
        <x:f>COUNTA('Non-Item Upload'!A2:A100)</x:f>
        <x:v>1</x:v>
      </x:c>
      <x:c r="D11" s="38" t="str">
        <x:v>Serf’s Bondage is an Attack card, not an Item.</x:v>
      </x:c>
    </x:row>
  </x:sheetData>
  <x:mergeCells>
    <x:mergeCell ref="A1:D1"/>
    <x:mergeCell ref="A2:D2"/>
  </x:mergeCells>
  <x:pageMargins left="0.7" right="0.7" top="0.75" bottom="0.75" header="0.3" footer="0.3"/>
</x:worksheet>
</file>