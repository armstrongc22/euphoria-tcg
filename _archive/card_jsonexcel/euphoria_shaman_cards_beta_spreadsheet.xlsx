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d7f153849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man Cards" sheetId="1" r:id="R3ee9bb749e1a467c"/>
    <x:sheet xmlns:r="http://schemas.openxmlformats.org/officeDocument/2006/relationships" name="Summary" sheetId="2" r:id="Rd82a794aaa62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581C87"/>
      </x:patternFill>
    </x:fill>
    <x:fill>
      <x:patternFill patternType="solid">
        <x:fgColor rgb="F3E8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fa912b797488c" /><Relationship Type="http://schemas.openxmlformats.org/officeDocument/2006/relationships/theme" Target="/xl/theme/theme1.xml" Id="R30e67387887846fb" /><Relationship Type="http://schemas.openxmlformats.org/officeDocument/2006/relationships/sharedStrings" Target="/xl/sharedStrings.xml" Id="R6522890c03ad40b8" /><Relationship Type="http://schemas.openxmlformats.org/officeDocument/2006/relationships/worksheet" Target="/xl/worksheets/sheet1.xml" Id="R3ee9bb749e1a467c" /><Relationship Type="http://schemas.openxmlformats.org/officeDocument/2006/relationships/worksheet" Target="/xl/worksheets/sheet2.xml" Id="Rd82a794aaa624827" /></Relationships>
</file>

<file path=xl/tables/table1.xml><?xml version="1.0" encoding="utf-8"?>
<x:table xmlns:x="http://schemas.openxmlformats.org/spreadsheetml/2006/main" id="1" name="ShamanCardsTable" displayName="ShamanCardsTable" ref="A1:I15" headerRowCount="1">
  <x:tableColumns count="9">
    <x:tableColumn id="1" name="Card Name"/>
    <x:tableColumn id="2" name="Card Type"/>
    <x:tableColumn id="3" name="Faction"/>
    <x:tableColumn id="4" name="Spirit Cost"/>
    <x:tableColumn id="5" name="ATK"/>
    <x:tableColumn id="6" name="HEALTH"/>
    <x:tableColumn id="7" name="Subtype"/>
    <x:tableColumn id="8" name="Effect / Notes"/>
    <x:tableColumn id="9" name="Source Im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9a90ed83714f2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60" hidden="0" customWidth="1"/>
    <x:col min="9" max="9" width="26" hidden="0" customWidth="1"/>
  </x:cols>
  <x:sheetData>
    <x:row r="1" ht="24" customHeight="1">
      <x:c r="A1" s="14" t="str">
        <x:v>Card Name</x:v>
      </x:c>
      <x:c r="B1" s="14" t="str">
        <x:v>Card Type</x:v>
      </x:c>
      <x:c r="C1" s="14" t="str">
        <x:v>Faction</x:v>
      </x:c>
      <x:c r="D1" s="14" t="str">
        <x:v>Spirit Cost</x:v>
      </x:c>
      <x:c r="E1" s="14" t="str">
        <x:v>ATK</x:v>
      </x:c>
      <x:c r="F1" s="14" t="str">
        <x:v>HEALTH</x:v>
      </x:c>
      <x:c r="G1" s="14" t="str">
        <x:v>Subtype</x:v>
      </x:c>
      <x:c r="H1" s="14" t="str">
        <x:v>Effect / Notes</x:v>
      </x:c>
      <x:c r="I1" s="14" t="str">
        <x:v>Source Image</x:v>
      </x:c>
    </x:row>
    <x:row r="2" ht="42" customHeight="1">
      <x:c r="A2" s="15" t="str">
        <x:v>Augustine</x:v>
      </x:c>
      <x:c r="B2" s="15" t="str">
        <x:v>Warrior</x:v>
      </x:c>
      <x:c r="C2" s="15" t="str">
        <x:v>Shaman</x:v>
      </x:c>
      <x:c r="D2" s="18" t="n">
        <x:v>3</x:v>
      </x:c>
      <x:c r="E2" s="18" t="n">
        <x:v>4000</x:v>
      </x:c>
      <x:c r="F2" s="18" t="n">
        <x:v>7000</x:v>
      </x:c>
      <x:c r="G2" s="15" t="str"/>
      <x:c r="H2" s="15" t="str"/>
      <x:c r="I2" s="15" t="str">
        <x:v>Augustine.png</x:v>
      </x:c>
    </x:row>
    <x:row r="3" ht="42" customHeight="1">
      <x:c r="A3" s="15" t="str">
        <x:v>Aurelius</x:v>
      </x:c>
      <x:c r="B3" s="15" t="str">
        <x:v>Warrior</x:v>
      </x:c>
      <x:c r="C3" s="15" t="str">
        <x:v>Shaman</x:v>
      </x:c>
      <x:c r="D3" s="18" t="n">
        <x:v>3</x:v>
      </x:c>
      <x:c r="E3" s="18" t="n">
        <x:v>3000</x:v>
      </x:c>
      <x:c r="F3" s="18" t="n">
        <x:v>9000</x:v>
      </x:c>
      <x:c r="G3" s="15" t="str"/>
      <x:c r="H3" s="15" t="str"/>
      <x:c r="I3" s="15" t="str">
        <x:v>Aurelius.png</x:v>
      </x:c>
    </x:row>
    <x:row r="4" ht="42" customHeight="1">
      <x:c r="A4" s="15" t="str">
        <x:v>Chitra</x:v>
      </x:c>
      <x:c r="B4" s="15" t="str">
        <x:v>Warrior</x:v>
      </x:c>
      <x:c r="C4" s="15" t="str">
        <x:v>Shaman</x:v>
      </x:c>
      <x:c r="D4" s="18" t="n">
        <x:v>3</x:v>
      </x:c>
      <x:c r="E4" s="18" t="n">
        <x:v>3000</x:v>
      </x:c>
      <x:c r="F4" s="18" t="n">
        <x:v>8000</x:v>
      </x:c>
      <x:c r="G4" s="15" t="str"/>
      <x:c r="H4" s="15" t="str"/>
      <x:c r="I4" s="15" t="str">
        <x:v>Chitra.png</x:v>
      </x:c>
    </x:row>
    <x:row r="5" ht="42" customHeight="1">
      <x:c r="A5" s="15" t="str">
        <x:v>Decimation</x:v>
      </x:c>
      <x:c r="B5" s="15" t="str">
        <x:v>Attack</x:v>
      </x:c>
      <x:c r="C5" s="15" t="str">
        <x:v>Shaman</x:v>
      </x:c>
      <x:c r="D5" s="18" t="n">
        <x:v>3</x:v>
      </x:c>
      <x:c r="E5" s="18"/>
      <x:c r="F5" s="18"/>
      <x:c r="G5" s="15" t="str">
        <x:v>Finisher</x:v>
      </x:c>
      <x:c r="H5" s="15" t="str">
        <x:v>If there are 5 or more Warriors on the field, each Warrior must draw a stone. The 2 Warriors who draw a white stone are immediately destroyed.</x:v>
      </x:c>
      <x:c r="I5" s="15" t="str">
        <x:v>Decimation.png</x:v>
      </x:c>
    </x:row>
    <x:row r="6" ht="42" customHeight="1">
      <x:c r="A6" s="15" t="str">
        <x:v>Erelim</x:v>
      </x:c>
      <x:c r="B6" s="15" t="str">
        <x:v>Warrior</x:v>
      </x:c>
      <x:c r="C6" s="15" t="str">
        <x:v>Shaman</x:v>
      </x:c>
      <x:c r="D6" s="18" t="n">
        <x:v>3</x:v>
      </x:c>
      <x:c r="E6" s="18" t="n">
        <x:v>2800</x:v>
      </x:c>
      <x:c r="F6" s="18" t="n">
        <x:v>6000</x:v>
      </x:c>
      <x:c r="G6" s="15" t="str"/>
      <x:c r="H6" s="15" t="str"/>
      <x:c r="I6" s="15" t="str">
        <x:v>Erelim.png</x:v>
      </x:c>
    </x:row>
    <x:row r="7" ht="42" customHeight="1">
      <x:c r="A7" s="15" t="str">
        <x:v>Flamma</x:v>
      </x:c>
      <x:c r="B7" s="15" t="str">
        <x:v>Warrior</x:v>
      </x:c>
      <x:c r="C7" s="15" t="str">
        <x:v>Shaman</x:v>
      </x:c>
      <x:c r="D7" s="18" t="n">
        <x:v>3</x:v>
      </x:c>
      <x:c r="E7" s="18" t="n">
        <x:v>4000</x:v>
      </x:c>
      <x:c r="F7" s="18" t="n">
        <x:v>6800</x:v>
      </x:c>
      <x:c r="G7" s="15" t="str"/>
      <x:c r="H7" s="15" t="str"/>
      <x:c r="I7" s="15" t="str">
        <x:v>Flamma.png</x:v>
      </x:c>
    </x:row>
    <x:row r="8" ht="42" customHeight="1">
      <x:c r="A8" s="15" t="str">
        <x:v>Halo</x:v>
      </x:c>
      <x:c r="B8" s="15" t="str">
        <x:v>Warrior</x:v>
      </x:c>
      <x:c r="C8" s="15" t="str">
        <x:v>Shaman</x:v>
      </x:c>
      <x:c r="D8" s="18" t="n">
        <x:v>3</x:v>
      </x:c>
      <x:c r="E8" s="18" t="n">
        <x:v>2000</x:v>
      </x:c>
      <x:c r="F8" s="18" t="n">
        <x:v>6000</x:v>
      </x:c>
      <x:c r="G8" s="15" t="str"/>
      <x:c r="H8" s="15" t="str"/>
      <x:c r="I8" s="15" t="str">
        <x:v>Halo.png</x:v>
      </x:c>
    </x:row>
    <x:row r="9" ht="42" customHeight="1">
      <x:c r="A9" s="15" t="str">
        <x:v>Jeru Baalbek</x:v>
      </x:c>
      <x:c r="B9" s="15" t="str">
        <x:v>Warrior</x:v>
      </x:c>
      <x:c r="C9" s="15" t="str">
        <x:v>Shaman</x:v>
      </x:c>
      <x:c r="D9" s="18" t="n">
        <x:v>3</x:v>
      </x:c>
      <x:c r="E9" s="18" t="n">
        <x:v>3500</x:v>
      </x:c>
      <x:c r="F9" s="18" t="n">
        <x:v>8000</x:v>
      </x:c>
      <x:c r="G9" s="15" t="str"/>
      <x:c r="H9" s="15" t="str"/>
      <x:c r="I9" s="15" t="str">
        <x:v>Jeru Baalbek.png</x:v>
      </x:c>
    </x:row>
    <x:row r="10" ht="42" customHeight="1">
      <x:c r="A10" s="15" t="str">
        <x:v>Keta Mula</x:v>
      </x:c>
      <x:c r="B10" s="15" t="str">
        <x:v>Warrior</x:v>
      </x:c>
      <x:c r="C10" s="15" t="str">
        <x:v>Shaman</x:v>
      </x:c>
      <x:c r="D10" s="18" t="n">
        <x:v>3</x:v>
      </x:c>
      <x:c r="E10" s="18" t="n">
        <x:v>3100</x:v>
      </x:c>
      <x:c r="F10" s="18" t="n">
        <x:v>5500</x:v>
      </x:c>
      <x:c r="G10" s="15" t="str"/>
      <x:c r="H10" s="15" t="str"/>
      <x:c r="I10" s="15" t="str">
        <x:v>Keta Mula.png</x:v>
      </x:c>
    </x:row>
    <x:row r="11" ht="42" customHeight="1">
      <x:c r="A11" s="15" t="str">
        <x:v>Kira Tyler</x:v>
      </x:c>
      <x:c r="B11" s="15" t="str">
        <x:v>Warrior</x:v>
      </x:c>
      <x:c r="C11" s="15" t="str">
        <x:v>Shaman</x:v>
      </x:c>
      <x:c r="D11" s="18" t="n">
        <x:v>3</x:v>
      </x:c>
      <x:c r="E11" s="18" t="n">
        <x:v>2900</x:v>
      </x:c>
      <x:c r="F11" s="18" t="n">
        <x:v>5500</x:v>
      </x:c>
      <x:c r="G11" s="15" t="str"/>
      <x:c r="H11" s="15" t="str"/>
      <x:c r="I11" s="15" t="str">
        <x:v>Kira Tyler.png</x:v>
      </x:c>
    </x:row>
    <x:row r="12" ht="42" customHeight="1">
      <x:c r="A12" s="15" t="str">
        <x:v>Lei the Necromancer</x:v>
      </x:c>
      <x:c r="B12" s="15" t="str">
        <x:v>Warrior</x:v>
      </x:c>
      <x:c r="C12" s="15" t="str">
        <x:v>Shaman</x:v>
      </x:c>
      <x:c r="D12" s="18" t="n">
        <x:v>3</x:v>
      </x:c>
      <x:c r="E12" s="18" t="n">
        <x:v>3300</x:v>
      </x:c>
      <x:c r="F12" s="18" t="n">
        <x:v>7000</x:v>
      </x:c>
      <x:c r="G12" s="15" t="str"/>
      <x:c r="H12" s="15" t="str"/>
      <x:c r="I12" s="15" t="str">
        <x:v>Lei the Necromancer.png</x:v>
      </x:c>
    </x:row>
    <x:row r="13" ht="42" customHeight="1">
      <x:c r="A13" s="15" t="str">
        <x:v>Rahu</x:v>
      </x:c>
      <x:c r="B13" s="15" t="str">
        <x:v>Warrior</x:v>
      </x:c>
      <x:c r="C13" s="15" t="str">
        <x:v>Shaman</x:v>
      </x:c>
      <x:c r="D13" s="18" t="n">
        <x:v>3</x:v>
      </x:c>
      <x:c r="E13" s="18" t="n">
        <x:v>3750</x:v>
      </x:c>
      <x:c r="F13" s="18" t="n">
        <x:v>8500</x:v>
      </x:c>
      <x:c r="G13" s="15" t="str"/>
      <x:c r="H13" s="15" t="str"/>
      <x:c r="I13" s="15" t="str">
        <x:v>Rahu.png</x:v>
      </x:c>
    </x:row>
    <x:row r="14" ht="42" customHeight="1">
      <x:c r="A14" s="15" t="str">
        <x:v>Rohini</x:v>
      </x:c>
      <x:c r="B14" s="15" t="str">
        <x:v>Warrior</x:v>
      </x:c>
      <x:c r="C14" s="15" t="str">
        <x:v>Shaman</x:v>
      </x:c>
      <x:c r="D14" s="18" t="n">
        <x:v>3</x:v>
      </x:c>
      <x:c r="E14" s="18" t="n">
        <x:v>3500</x:v>
      </x:c>
      <x:c r="F14" s="18" t="n">
        <x:v>5500</x:v>
      </x:c>
      <x:c r="G14" s="15" t="str"/>
      <x:c r="H14" s="15" t="str"/>
      <x:c r="I14" s="15" t="str">
        <x:v>Rohini.png</x:v>
      </x:c>
    </x:row>
    <x:row r="15" ht="42" customHeight="1">
      <x:c r="A15" s="15" t="str">
        <x:v>Valkyrie</x:v>
      </x:c>
      <x:c r="B15" s="15" t="str">
        <x:v>Warrior</x:v>
      </x:c>
      <x:c r="C15" s="15" t="str">
        <x:v>Shaman</x:v>
      </x:c>
      <x:c r="D15" s="18" t="n">
        <x:v>3</x:v>
      </x:c>
      <x:c r="E15" s="18" t="n">
        <x:v>2650</x:v>
      </x:c>
      <x:c r="F15" s="18" t="n">
        <x:v>5900</x:v>
      </x:c>
      <x:c r="G15" s="15" t="str"/>
      <x:c r="H15" s="15" t="str"/>
      <x:c r="I15" s="15" t="str">
        <x:v>Valkyrie.png</x:v>
      </x:c>
    </x:row>
  </x:sheetData>
  <x:conditionalFormatting sqref="E2:E15">
    <x:cfRule type="colorScale" priority="1">
      <x:colorScale>
        <x:cfvo type="min"/>
        <x:cfvo type="percentile" val="50"/>
        <x:cfvo type="max"/>
        <x:color rgb="F3E8FF"/>
        <x:color rgb="C4B5FD"/>
        <x:color rgb="6D28D9"/>
      </x:colorScale>
    </x:cfRule>
  </x:conditionalFormatting>
  <x:conditionalFormatting sqref="F2:F15">
    <x:cfRule type="colorScale" priority="2">
      <x:colorScale>
        <x:cfvo type="min"/>
        <x:cfvo type="percentile" val="50"/>
        <x:cfvo type="max"/>
        <x:color rgb="F3E8FF"/>
        <x:color rgb="C4B5FD"/>
        <x:color rgb="6D28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e9a90ed83714f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26" hidden="0" customWidth="1"/>
    <x:col min="5" max="5" width="12" hidden="0" customWidth="1"/>
    <x:col min="6" max="6" width="26" hidden="0" customWidth="1"/>
    <x:col min="7" max="7" width="12" hidden="0" customWidth="1"/>
  </x:cols>
  <x:sheetData>
    <x:row r="1">
      <x:c r="A1" s="10" t="str">
        <x:v>Metric</x:v>
      </x:c>
      <x:c r="B1" s="10" t="str">
        <x:v>Value</x:v>
      </x:c>
      <x:c r="D1" s="10" t="str">
        <x:v>Top ATK Cards</x:v>
      </x:c>
      <x:c r="E1" s="10" t="str">
        <x:v>ATK</x:v>
      </x:c>
      <x:c r="F1" s="10" t="str">
        <x:v>Top HEALTH Cards</x:v>
      </x:c>
      <x:c r="G1" s="10" t="str">
        <x:v>HEALTH</x:v>
      </x:c>
    </x:row>
    <x:row r="2">
      <x:c r="A2" s="11" t="str">
        <x:v>Total cards</x:v>
      </x:c>
      <x:c r="B2" s="22" t="n">
        <x:f>COUNTA('Shaman Cards'!A2:A15)</x:f>
        <x:v>14</x:v>
      </x:c>
      <x:c r="D2" s="11" t="str">
        <x:v>Augustine</x:v>
      </x:c>
      <x:c r="E2" s="22" t="n">
        <x:v>4000</x:v>
      </x:c>
      <x:c r="F2" s="11" t="str">
        <x:v>Aurelius</x:v>
      </x:c>
      <x:c r="G2" s="22" t="n">
        <x:v>9000</x:v>
      </x:c>
    </x:row>
    <x:row r="3">
      <x:c r="A3" s="11" t="str">
        <x:v>Warrior cards</x:v>
      </x:c>
      <x:c r="B3" s="22" t="n">
        <x:f>COUNTIF('Shaman Cards'!B2:B15,"Warrior")</x:f>
        <x:v>13</x:v>
      </x:c>
      <x:c r="D3" s="11" t="str">
        <x:v>Flamma</x:v>
      </x:c>
      <x:c r="E3" s="22" t="n">
        <x:v>4000</x:v>
      </x:c>
      <x:c r="F3" s="11" t="str">
        <x:v>Rahu</x:v>
      </x:c>
      <x:c r="G3" s="22" t="n">
        <x:v>8500</x:v>
      </x:c>
    </x:row>
    <x:row r="4">
      <x:c r="A4" s="11" t="str">
        <x:v>Attack cards</x:v>
      </x:c>
      <x:c r="B4" s="22" t="n">
        <x:f>COUNTIF('Shaman Cards'!B2:B15,"Attack")</x:f>
        <x:v>1</x:v>
      </x:c>
      <x:c r="D4" s="11" t="str">
        <x:v>Rahu</x:v>
      </x:c>
      <x:c r="E4" s="22" t="n">
        <x:v>3750</x:v>
      </x:c>
      <x:c r="F4" s="11" t="str">
        <x:v>Chitra</x:v>
      </x:c>
      <x:c r="G4" s="22" t="n">
        <x:v>8000</x:v>
      </x:c>
    </x:row>
    <x:row r="5">
      <x:c r="A5" s="20" t="str">
        <x:v>Spirit cost</x:v>
      </x:c>
      <x:c r="B5" s="23" t="n">
        <x:v>3</x:v>
      </x:c>
      <x:c r="D5" s="11" t="str">
        <x:v>Jeru Baalbek</x:v>
      </x:c>
      <x:c r="E5" s="22" t="n">
        <x:v>3500</x:v>
      </x:c>
      <x:c r="F5" s="11" t="str">
        <x:v>Jeru Baalbek</x:v>
      </x:c>
      <x:c r="G5" s="22" t="n">
        <x:v>8000</x:v>
      </x:c>
    </x:row>
    <x:row r="6">
      <x:c r="A6" s="11" t="str">
        <x:v>Average Warrior ATK</x:v>
      </x:c>
      <x:c r="B6" s="22" t="n">
        <x:f>AVERAGEIF('Shaman Cards'!B2:B15,"Warrior",'Shaman Cards'!E2:E15)</x:f>
        <x:v>3192.3076923076924</x:v>
      </x:c>
      <x:c r="D6" s="11" t="str">
        <x:v>Rohini</x:v>
      </x:c>
      <x:c r="E6" s="22" t="n">
        <x:v>3500</x:v>
      </x:c>
      <x:c r="F6" s="11" t="str">
        <x:v>Augustine</x:v>
      </x:c>
      <x:c r="G6" s="22" t="n">
        <x:v>7000</x:v>
      </x:c>
    </x:row>
    <x:row r="7">
      <x:c r="A7" s="11" t="str">
        <x:v>Average Warrior HEALTH</x:v>
      </x:c>
      <x:c r="B7" s="22" t="n">
        <x:f>AVERAGEIF('Shaman Cards'!B2:B15,"Warrior",'Shaman Cards'!F2:F15)</x:f>
        <x:v>6823.076923076923</x:v>
      </x:c>
    </x:row>
    <x:row r="8">
      <x:c r="A8" s="11" t="str">
        <x:v>Highest ATK</x:v>
      </x:c>
      <x:c r="B8" s="22" t="n">
        <x:f>MAX('Shaman Cards'!E2:E15)</x:f>
        <x:v>4000</x:v>
      </x:c>
    </x:row>
    <x:row r="9">
      <x:c r="A9" s="11" t="str">
        <x:v>Highest HEALTH</x:v>
      </x:c>
      <x:c r="B9" s="22" t="n">
        <x:f>MAX('Shaman Cards'!F2:F15)</x:f>
        <x:v>9000</x:v>
      </x:c>
    </x:row>
    <x:row r="11" ht="42" customHeight="1">
      <x:c r="A11" s="29" t="str">
        <x:v>Notes: Every Shaman card in this batch is set to 3 Spirit. Decimation is listed as an Attack / Finisher card; the rest are Warrior cards.</x:v>
      </x:c>
    </x:row>
  </x:sheetData>
  <x:mergeCells>
    <x:mergeCell ref="A11:G11"/>
  </x:mergeCells>
  <x:pageMargins left="0.7" right="0.7" top="0.75" bottom="0.75" header="0.3" footer="0.3"/>
</x:worksheet>
</file>