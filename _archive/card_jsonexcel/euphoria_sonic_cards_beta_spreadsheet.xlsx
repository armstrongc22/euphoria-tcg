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b181b468f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ic Cards" sheetId="1" r:id="Re70c5bef99254c62"/>
    <x:sheet xmlns:r="http://schemas.openxmlformats.org/officeDocument/2006/relationships" name="Cost Scale" sheetId="2" r:id="Rc00d6e8c14864053"/>
    <x:sheet xmlns:r="http://schemas.openxmlformats.org/officeDocument/2006/relationships" name="Effect Keys" sheetId="3" r:id="R1ce0f61acd1d43f9"/>
    <x:sheet xmlns:r="http://schemas.openxmlformats.org/officeDocument/2006/relationships" name="Summary" sheetId="4" r:id="R05f61cb71a62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111111"/>
      <x:name val="Carlito"/>
    </x:font>
    <x:font>
      <x:sz val="11"/>
      <x:color rgb="111111"/>
      <x:name val="Carlito"/>
    </x:font>
    <x:font>
      <x:b/>
      <x:sz val="14"/>
      <x:color rgb="1111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4AF37"/>
      </x:patternFill>
    </x:fill>
    <x:fill>
      <x:patternFill patternType="solid">
        <x:fgColor rgb="FFF7D6"/>
      </x:patternFill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349e0a20c4859" /><Relationship Type="http://schemas.openxmlformats.org/officeDocument/2006/relationships/theme" Target="/xl/theme/theme1.xml" Id="R97dacdb4365246dc" /><Relationship Type="http://schemas.openxmlformats.org/officeDocument/2006/relationships/sharedStrings" Target="/xl/sharedStrings.xml" Id="R524c05cb20664528" /><Relationship Type="http://schemas.openxmlformats.org/officeDocument/2006/relationships/worksheet" Target="/xl/worksheets/sheet1.xml" Id="Re70c5bef99254c62" /><Relationship Type="http://schemas.openxmlformats.org/officeDocument/2006/relationships/worksheet" Target="/xl/worksheets/sheet2.xml" Id="Rc00d6e8c14864053" /><Relationship Type="http://schemas.openxmlformats.org/officeDocument/2006/relationships/worksheet" Target="/xl/worksheets/sheet3.xml" Id="R1ce0f61acd1d43f9" /><Relationship Type="http://schemas.openxmlformats.org/officeDocument/2006/relationships/worksheet" Target="/xl/worksheets/sheet4.xml" Id="R05f61cb71a6249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dff43ef6d943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Sonic Warrior ATK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ATK</c:v>
          </c:tx>
          <c:cat>
            <c:strRef>
              <c:f>'Summary'!$A$14:$A$27</c:f>
              <c:strCache>
                <c:ptCount val="0"/>
              </c:strCache>
            </c:strRef>
          </c:cat>
          <c:val>
            <c:numRef>
              <c:f>'Summary'!$B$14:$B$27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dff43ef6d943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nicCardsTable" displayName="SonicCardsTable" ref="A1:S19" headerRowCount="1">
  <x:tableColumns count="19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attack"/>
    <x:tableColumn id="9" name="health"/>
    <x:tableColumn id="10" name="rules_text"/>
    <x:tableColumn id="11" name="effect_key"/>
    <x:tableColumn id="12" name="amount"/>
    <x:tableColumn id="13" name="secondary_amount"/>
    <x:tableColumn id="14" name="target"/>
    <x:tableColumn id="15" name="duration"/>
    <x:tableColumn id="16" name="image_file"/>
    <x:tableColumn id="17" name="source_file"/>
    <x:tableColumn id="18" name="rarity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nicCostScaleTable" displayName="SonicCostScaleTable" ref="A1:B6" headerRowCount="1">
  <x:tableColumns count="2">
    <x:tableColumn id="1" name="Cost Scale"/>
    <x:tableColumn id="2" name="Rule"/>
  </x:tableColumns>
  <x:tableStyleInfo name="TableStyleMedium2" showRowStripes="1"/>
</x:table>
</file>

<file path=xl/tables/table3.xml><?xml version="1.0" encoding="utf-8"?>
<x:table xmlns:x="http://schemas.openxmlformats.org/spreadsheetml/2006/main" id="3" name="SonicEffectKeysTable" displayName="SonicEffectKeysTable" ref="A1:G5" headerRowCount="1">
  <x:tableColumns count="7">
    <x:tableColumn id="1" name="effect_key"/>
    <x:tableColumn id="2" name="plain_english_logic"/>
    <x:tableColumn id="3" name="amount"/>
    <x:tableColumn id="4" name="secondary_amount"/>
    <x:tableColumn id="5" name="target"/>
    <x:tableColumn id="6" name="duration"/>
    <x:tableColumn id="7" name="implementation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64474dc9f49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ddc835065f42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5620ea5e684b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3a2c9a8204b23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54" hidden="0" customWidth="1"/>
    <x:col min="11" max="11" width="34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32" hidden="0" customWidth="1"/>
    <x:col min="17" max="17" width="32" hidden="0" customWidth="1"/>
    <x:col min="18" max="18" width="14" hidden="0" customWidth="1"/>
    <x:col min="19" max="19" width="52" hidden="0" customWidth="1"/>
  </x:cols>
  <x:sheetData>
    <x:row r="1">
      <x:c r="A1" s="6" t="str">
        <x:v>id</x:v>
      </x:c>
      <x:c r="B1" s="6" t="str">
        <x:v>slug</x:v>
      </x:c>
      <x:c r="C1" s="6" t="str">
        <x:v>name</x:v>
      </x:c>
      <x:c r="D1" s="6" t="str">
        <x:v>faction</x:v>
      </x:c>
      <x:c r="E1" s="6" t="str">
        <x:v>type</x:v>
      </x:c>
      <x:c r="F1" s="6" t="str">
        <x:v>subtype</x:v>
      </x:c>
      <x:c r="G1" s="6" t="str">
        <x:v>spirit_cost</x:v>
      </x:c>
      <x:c r="H1" s="6" t="str">
        <x:v>attack</x:v>
      </x:c>
      <x:c r="I1" s="6" t="str">
        <x:v>health</x:v>
      </x:c>
      <x:c r="J1" s="6" t="str">
        <x:v>rules_text</x:v>
      </x:c>
      <x:c r="K1" s="6" t="str">
        <x:v>effect_key</x:v>
      </x:c>
      <x:c r="L1" s="6" t="str">
        <x:v>amount</x:v>
      </x:c>
      <x:c r="M1" s="6" t="str">
        <x:v>secondary_amount</x:v>
      </x:c>
      <x:c r="N1" s="6" t="str">
        <x:v>target</x:v>
      </x:c>
      <x:c r="O1" s="6" t="str">
        <x:v>duration</x:v>
      </x:c>
      <x:c r="P1" s="6" t="str">
        <x:v>image_file</x:v>
      </x:c>
      <x:c r="Q1" s="6" t="str">
        <x:v>source_file</x:v>
      </x:c>
      <x:c r="R1" s="6" t="str">
        <x:v>rarity</x:v>
      </x:c>
      <x:c r="S1" s="6" t="str">
        <x:v>notes</x:v>
      </x:c>
    </x:row>
    <x:row r="2">
      <x:c r="A2" s="15" t="str">
        <x:v>sonic_warrior_bit_schneider</x:v>
      </x:c>
      <x:c r="B2" s="15" t="str">
        <x:v>bit-schneider</x:v>
      </x:c>
      <x:c r="C2" s="15" t="str">
        <x:v>Bit Schneider</x:v>
      </x:c>
      <x:c r="D2" s="15" t="str">
        <x:v>Sonic</x:v>
      </x:c>
      <x:c r="E2" s="15" t="str">
        <x:v>Warrior</x:v>
      </x:c>
      <x:c r="F2" s="15" t="str"/>
      <x:c r="G2" s="20" t="n">
        <x:v>1</x:v>
      </x:c>
      <x:c r="H2" s="20" t="n">
        <x:v>1900</x:v>
      </x:c>
      <x:c r="I2" s="20" t="n">
        <x:v>6500</x:v>
      </x:c>
      <x:c r="J2" s="15" t="str"/>
      <x:c r="K2" s="15" t="str"/>
      <x:c r="L2" s="20"/>
      <x:c r="M2" s="20"/>
      <x:c r="N2" s="15" t="str"/>
      <x:c r="O2" s="15" t="str"/>
      <x:c r="P2" s="15" t="str">
        <x:v>bit-schneider.webp</x:v>
      </x:c>
      <x:c r="Q2" s="15" t="str">
        <x:v>Bit Schneider.png</x:v>
      </x:c>
      <x:c r="R2" s="15" t="str">
        <x:v>Beta</x:v>
      </x:c>
      <x:c r="S2" s="15" t="str"/>
    </x:row>
    <x:row r="3">
      <x:c r="A3" s="15" t="str">
        <x:v>sonic_warrior_brut</x:v>
      </x:c>
      <x:c r="B3" s="15" t="str">
        <x:v>brut</x:v>
      </x:c>
      <x:c r="C3" s="15" t="str">
        <x:v>Brut</x:v>
      </x:c>
      <x:c r="D3" s="15" t="str">
        <x:v>Sonic</x:v>
      </x:c>
      <x:c r="E3" s="15" t="str">
        <x:v>Warrior</x:v>
      </x:c>
      <x:c r="F3" s="15" t="str"/>
      <x:c r="G3" s="20" t="n">
        <x:v>3</x:v>
      </x:c>
      <x:c r="H3" s="20" t="n">
        <x:v>3000</x:v>
      </x:c>
      <x:c r="I3" s="20" t="n">
        <x:v>5500</x:v>
      </x:c>
      <x:c r="J3" s="15" t="str"/>
      <x:c r="K3" s="15" t="str"/>
      <x:c r="L3" s="20"/>
      <x:c r="M3" s="20"/>
      <x:c r="N3" s="15" t="str"/>
      <x:c r="O3" s="15" t="str"/>
      <x:c r="P3" s="15" t="str">
        <x:v>brut.webp</x:v>
      </x:c>
      <x:c r="Q3" s="15" t="str">
        <x:v>Brut.png</x:v>
      </x:c>
      <x:c r="R3" s="15" t="str">
        <x:v>Beta</x:v>
      </x:c>
      <x:c r="S3" s="15" t="str">
        <x:v>High-ATK glass cannon profile.</x:v>
      </x:c>
    </x:row>
    <x:row r="4">
      <x:c r="A4" s="15" t="str">
        <x:v>sonic_warrior_carlson</x:v>
      </x:c>
      <x:c r="B4" s="15" t="str">
        <x:v>carlson</x:v>
      </x:c>
      <x:c r="C4" s="15" t="str">
        <x:v>Carlson</x:v>
      </x:c>
      <x:c r="D4" s="15" t="str">
        <x:v>Sonic</x:v>
      </x:c>
      <x:c r="E4" s="15" t="str">
        <x:v>Warrior</x:v>
      </x:c>
      <x:c r="F4" s="15" t="str"/>
      <x:c r="G4" s="20" t="n">
        <x:v>1</x:v>
      </x:c>
      <x:c r="H4" s="20" t="n">
        <x:v>1900</x:v>
      </x:c>
      <x:c r="I4" s="20" t="n">
        <x:v>6000</x:v>
      </x:c>
      <x:c r="J4" s="15" t="str"/>
      <x:c r="K4" s="15" t="str"/>
      <x:c r="L4" s="20"/>
      <x:c r="M4" s="20"/>
      <x:c r="N4" s="15" t="str"/>
      <x:c r="O4" s="15" t="str"/>
      <x:c r="P4" s="15" t="str">
        <x:v>carlson.webp</x:v>
      </x:c>
      <x:c r="Q4" s="15" t="str">
        <x:v>Carlson.png</x:v>
      </x:c>
      <x:c r="R4" s="15" t="str">
        <x:v>Beta</x:v>
      </x:c>
      <x:c r="S4" s="15" t="str"/>
    </x:row>
    <x:row r="5">
      <x:c r="A5" s="15" t="str">
        <x:v>sonic_warrior_cassidy_sinclair</x:v>
      </x:c>
      <x:c r="B5" s="15" t="str">
        <x:v>cassidy-sinclair</x:v>
      </x:c>
      <x:c r="C5" s="15" t="str">
        <x:v>Cassidy Sinclair</x:v>
      </x:c>
      <x:c r="D5" s="15" t="str">
        <x:v>Sonic</x:v>
      </x:c>
      <x:c r="E5" s="15" t="str">
        <x:v>Warrior</x:v>
      </x:c>
      <x:c r="F5" s="15" t="str"/>
      <x:c r="G5" s="20" t="n">
        <x:v>1</x:v>
      </x:c>
      <x:c r="H5" s="20" t="n">
        <x:v>1950</x:v>
      </x:c>
      <x:c r="I5" s="20" t="n">
        <x:v>6500</x:v>
      </x:c>
      <x:c r="J5" s="15" t="str"/>
      <x:c r="K5" s="15" t="str"/>
      <x:c r="L5" s="20"/>
      <x:c r="M5" s="20"/>
      <x:c r="N5" s="15" t="str"/>
      <x:c r="O5" s="15" t="str"/>
      <x:c r="P5" s="15" t="str">
        <x:v>cassidy-sinclair.webp</x:v>
      </x:c>
      <x:c r="Q5" s="15" t="str">
        <x:v>Cassidy Sinclair.png</x:v>
      </x:c>
      <x:c r="R5" s="15" t="str">
        <x:v>Beta</x:v>
      </x:c>
      <x:c r="S5" s="15" t="str"/>
    </x:row>
    <x:row r="6">
      <x:c r="A6" s="15" t="str">
        <x:v>sonic_attack_cytotoxic_chapel</x:v>
      </x:c>
      <x:c r="B6" s="15" t="str">
        <x:v>cytotoxic-chapel</x:v>
      </x:c>
      <x:c r="C6" s="15" t="str">
        <x:v>Cytotoxic Chapel</x:v>
      </x:c>
      <x:c r="D6" s="15" t="str">
        <x:v>Sonic</x:v>
      </x:c>
      <x:c r="E6" s="15" t="str">
        <x:v>Attack</x:v>
      </x:c>
      <x:c r="F6" s="15" t="str">
        <x:v>Lingering</x:v>
      </x:c>
      <x:c r="G6" s="20" t="n">
        <x:v>1</x:v>
      </x:c>
      <x:c r="H6" s="20"/>
      <x:c r="I6" s="20"/>
      <x:c r="J6" s="15" t="str">
        <x:v>Deal 1500 damage to all Warriors on your opponent’s side of the field. All Warriors that took damage from this effect take 500 damage on your next turn.</x:v>
      </x:c>
      <x:c r="K6" s="15" t="str">
        <x:v>aoe_damage_then_delayed_damage</x:v>
      </x:c>
      <x:c r="L6" s="20" t="n">
        <x:v>1500</x:v>
      </x:c>
      <x:c r="M6" s="20" t="n">
        <x:v>500</x:v>
      </x:c>
      <x:c r="N6" s="15" t="str">
        <x:v>all_opponent_warriors</x:v>
      </x:c>
      <x:c r="O6" s="15" t="str">
        <x:v>next_turn</x:v>
      </x:c>
      <x:c r="P6" s="15" t="str">
        <x:v>cytotoxic-chapel.webp</x:v>
      </x:c>
      <x:c r="Q6" s="15" t="str">
        <x:v>Cytotoxic Chapel.png</x:v>
      </x:c>
      <x:c r="R6" s="15" t="str">
        <x:v>Beta</x:v>
      </x:c>
      <x:c r="S6" s="15" t="str">
        <x:v>Tracks affected Warriors for delayed 500 damage.</x:v>
      </x:c>
    </x:row>
    <x:row r="7">
      <x:c r="A7" s="15" t="str">
        <x:v>sonic_warrior_high_councilor_jerome_baldwin</x:v>
      </x:c>
      <x:c r="B7" s="15" t="str">
        <x:v>high-councilor-jerome-baldwin</x:v>
      </x:c>
      <x:c r="C7" s="15" t="str">
        <x:v>High Councilor Jerome Baldwin</x:v>
      </x:c>
      <x:c r="D7" s="15" t="str">
        <x:v>Sonic</x:v>
      </x:c>
      <x:c r="E7" s="15" t="str">
        <x:v>Warrior</x:v>
      </x:c>
      <x:c r="F7" s="15" t="str"/>
      <x:c r="G7" s="20" t="n">
        <x:v>1</x:v>
      </x:c>
      <x:c r="H7" s="20" t="n">
        <x:v>1700</x:v>
      </x:c>
      <x:c r="I7" s="20" t="n">
        <x:v>10000</x:v>
      </x:c>
      <x:c r="J7" s="15" t="str"/>
      <x:c r="K7" s="15" t="str"/>
      <x:c r="L7" s="20"/>
      <x:c r="M7" s="20"/>
      <x:c r="N7" s="15" t="str"/>
      <x:c r="O7" s="15" t="str"/>
      <x:c r="P7" s="15" t="str">
        <x:v>high-councilor-jerome-baldwin.webp</x:v>
      </x:c>
      <x:c r="Q7" s="15" t="str">
        <x:v>High Councilor Jerome Baldwin.png</x:v>
      </x:c>
      <x:c r="R7" s="15" t="str">
        <x:v>Beta</x:v>
      </x:c>
      <x:c r="S7" s="15" t="str">
        <x:v>Very high health; cost follows ATK-only scale per instruction.</x:v>
      </x:c>
    </x:row>
    <x:row r="8">
      <x:c r="A8" s="15" t="str">
        <x:v>sonic_warrior_kit</x:v>
      </x:c>
      <x:c r="B8" s="15" t="str">
        <x:v>kit</x:v>
      </x:c>
      <x:c r="C8" s="15" t="str">
        <x:v>Kit</x:v>
      </x:c>
      <x:c r="D8" s="15" t="str">
        <x:v>Sonic</x:v>
      </x:c>
      <x:c r="E8" s="15" t="str">
        <x:v>Warrior</x:v>
      </x:c>
      <x:c r="F8" s="15" t="str"/>
      <x:c r="G8" s="20" t="n">
        <x:v>1</x:v>
      </x:c>
      <x:c r="H8" s="20" t="n">
        <x:v>1800</x:v>
      </x:c>
      <x:c r="I8" s="20" t="n">
        <x:v>6500</x:v>
      </x:c>
      <x:c r="J8" s="15" t="str"/>
      <x:c r="K8" s="15" t="str"/>
      <x:c r="L8" s="20"/>
      <x:c r="M8" s="20"/>
      <x:c r="N8" s="15" t="str"/>
      <x:c r="O8" s="15" t="str"/>
      <x:c r="P8" s="15" t="str">
        <x:v>kit.webp</x:v>
      </x:c>
      <x:c r="Q8" s="15" t="str">
        <x:v>Kit.png</x:v>
      </x:c>
      <x:c r="R8" s="15" t="str">
        <x:v>Beta</x:v>
      </x:c>
      <x:c r="S8" s="15" t="str"/>
    </x:row>
    <x:row r="9">
      <x:c r="A9" s="15" t="str">
        <x:v>sonic_warrior_lynn_katabatic</x:v>
      </x:c>
      <x:c r="B9" s="15" t="str">
        <x:v>lynn-katabatic</x:v>
      </x:c>
      <x:c r="C9" s="15" t="str">
        <x:v>Lynn Katabatic</x:v>
      </x:c>
      <x:c r="D9" s="15" t="str">
        <x:v>Sonic</x:v>
      </x:c>
      <x:c r="E9" s="15" t="str">
        <x:v>Warrior</x:v>
      </x:c>
      <x:c r="F9" s="15" t="str"/>
      <x:c r="G9" s="20" t="n">
        <x:v>1</x:v>
      </x:c>
      <x:c r="H9" s="20" t="n">
        <x:v>2200</x:v>
      </x:c>
      <x:c r="I9" s="20" t="n">
        <x:v>5500</x:v>
      </x:c>
      <x:c r="J9" s="15" t="str"/>
      <x:c r="K9" s="15" t="str"/>
      <x:c r="L9" s="20"/>
      <x:c r="M9" s="20"/>
      <x:c r="N9" s="15" t="str"/>
      <x:c r="O9" s="15" t="str"/>
      <x:c r="P9" s="15" t="str">
        <x:v>lynn-katabatic.webp</x:v>
      </x:c>
      <x:c r="Q9" s="15" t="str">
        <x:v>Lynn Katabatic.png</x:v>
      </x:c>
      <x:c r="R9" s="15" t="str">
        <x:v>Beta</x:v>
      </x:c>
      <x:c r="S9" s="15" t="str"/>
    </x:row>
    <x:row r="10">
      <x:c r="A10" s="15" t="str">
        <x:v>sonic_attack_megawatt_apocalypse</x:v>
      </x:c>
      <x:c r="B10" s="15" t="str">
        <x:v>megawatt-apocalypse</x:v>
      </x:c>
      <x:c r="C10" s="15" t="str">
        <x:v>Megawatt Apocalypse</x:v>
      </x:c>
      <x:c r="D10" s="15" t="str">
        <x:v>Sonic</x:v>
      </x:c>
      <x:c r="E10" s="15" t="str">
        <x:v>Attack</x:v>
      </x:c>
      <x:c r="F10" s="15" t="str">
        <x:v>Finisher</x:v>
      </x:c>
      <x:c r="G10" s="20" t="n">
        <x:v>1</x:v>
      </x:c>
      <x:c r="H10" s="20"/>
      <x:c r="I10" s="20"/>
      <x:c r="J10" s="15" t="str">
        <x:v>Destroy 1 Warrior on your opponent’s side of the field.</x:v>
      </x:c>
      <x:c r="K10" s="15" t="str">
        <x:v>destroy_enemy_warrior</x:v>
      </x:c>
      <x:c r="L10" s="20" t="n">
        <x:v>1</x:v>
      </x:c>
      <x:c r="M10" s="20"/>
      <x:c r="N10" s="15" t="str">
        <x:v>opponent_warrior</x:v>
      </x:c>
      <x:c r="O10" s="15" t="str">
        <x:v>instant</x:v>
      </x:c>
      <x:c r="P10" s="15" t="str">
        <x:v>megawatt-apocalypse.webp</x:v>
      </x:c>
      <x:c r="Q10" s="15" t="str">
        <x:v>Megawatt Apocalypse.png</x:v>
      </x:c>
      <x:c r="R10" s="15" t="str">
        <x:v>Beta</x:v>
      </x:c>
      <x:c r="S10" s="15" t="str">
        <x:v>Same functional pattern as other Finisher destroy cards.</x:v>
      </x:c>
    </x:row>
    <x:row r="11">
      <x:c r="A11" s="15" t="str">
        <x:v>sonic_warrior_priest_aquinas</x:v>
      </x:c>
      <x:c r="B11" s="15" t="str">
        <x:v>priest-aquinas</x:v>
      </x:c>
      <x:c r="C11" s="15" t="str">
        <x:v>Priest Aquinas</x:v>
      </x:c>
      <x:c r="D11" s="15" t="str">
        <x:v>Sonic</x:v>
      </x:c>
      <x:c r="E11" s="15" t="str">
        <x:v>Warrior</x:v>
      </x:c>
      <x:c r="F11" s="15" t="str"/>
      <x:c r="G11" s="20" t="n">
        <x:v>1</x:v>
      </x:c>
      <x:c r="H11" s="20" t="n">
        <x:v>2000</x:v>
      </x:c>
      <x:c r="I11" s="20" t="n">
        <x:v>5500</x:v>
      </x:c>
      <x:c r="J11" s="15" t="str"/>
      <x:c r="K11" s="15" t="str"/>
      <x:c r="L11" s="20"/>
      <x:c r="M11" s="20"/>
      <x:c r="N11" s="15" t="str"/>
      <x:c r="O11" s="15" t="str"/>
      <x:c r="P11" s="15" t="str">
        <x:v>priest-aquinas.webp</x:v>
      </x:c>
      <x:c r="Q11" s="15" t="str">
        <x:v>Priest Aquinas.png</x:v>
      </x:c>
      <x:c r="R11" s="15" t="str">
        <x:v>Beta</x:v>
      </x:c>
      <x:c r="S11" s="15" t="str"/>
    </x:row>
    <x:row r="12">
      <x:c r="A12" s="15" t="str">
        <x:v>sonic_attack_pisubaipa</x:v>
      </x:c>
      <x:c r="B12" s="15" t="str">
        <x:v>pisubaipa</x:v>
      </x:c>
      <x:c r="C12" s="15" t="str">
        <x:v>Pīsubaipā</x:v>
      </x:c>
      <x:c r="D12" s="15" t="str">
        <x:v>Sonic</x:v>
      </x:c>
      <x:c r="E12" s="15" t="str">
        <x:v>Attack</x:v>
      </x:c>
      <x:c r="F12" s="15" t="str">
        <x:v>Lingering</x:v>
      </x:c>
      <x:c r="G12" s="20" t="n">
        <x:v>1</x:v>
      </x:c>
      <x:c r="H12" s="20"/>
      <x:c r="I12" s="20"/>
      <x:c r="J12" s="15" t="str">
        <x:v>Add 1000 damage this turn. The Warrior attacked by this card cannot attack for 2 turns.</x:v>
      </x:c>
      <x:c r="K12" s="15" t="str">
        <x:v>add_damage_and_disable_attacked_warrior</x:v>
      </x:c>
      <x:c r="L12" s="20" t="n">
        <x:v>1000</x:v>
      </x:c>
      <x:c r="M12" s="20"/>
      <x:c r="N12" s="15" t="str">
        <x:v>attacked_warrior</x:v>
      </x:c>
      <x:c r="O12" s="15" t="str">
        <x:v>2_turns</x:v>
      </x:c>
      <x:c r="P12" s="15" t="str">
        <x:v>pisubaipa.webp</x:v>
      </x:c>
      <x:c r="Q12" s="15" t="str">
        <x:v>Pīsubaipā.png</x:v>
      </x:c>
      <x:c r="R12" s="15" t="str">
        <x:v>Beta</x:v>
      </x:c>
      <x:c r="S12" s="15" t="str">
        <x:v>Needs rules clarity: whether damage bonus applies to one attack or all attacks this turn.</x:v>
      </x:c>
    </x:row>
    <x:row r="13">
      <x:c r="A13" s="15" t="str">
        <x:v>sonic_warrior_raigi</x:v>
      </x:c>
      <x:c r="B13" s="15" t="str">
        <x:v>raigi</x:v>
      </x:c>
      <x:c r="C13" s="15" t="str">
        <x:v>Raigi</x:v>
      </x:c>
      <x:c r="D13" s="15" t="str">
        <x:v>Sonic</x:v>
      </x:c>
      <x:c r="E13" s="15" t="str">
        <x:v>Warrior</x:v>
      </x:c>
      <x:c r="F13" s="15" t="str"/>
      <x:c r="G13" s="20" t="n">
        <x:v>3</x:v>
      </x:c>
      <x:c r="H13" s="20" t="n">
        <x:v>2650</x:v>
      </x:c>
      <x:c r="I13" s="20" t="n">
        <x:v>5000</x:v>
      </x:c>
      <x:c r="J13" s="15" t="str"/>
      <x:c r="K13" s="15" t="str"/>
      <x:c r="L13" s="20"/>
      <x:c r="M13" s="20"/>
      <x:c r="N13" s="15" t="str"/>
      <x:c r="O13" s="15" t="str"/>
      <x:c r="P13" s="15" t="str">
        <x:v>raigi.webp</x:v>
      </x:c>
      <x:c r="Q13" s="15" t="str">
        <x:v>Raigi.png</x:v>
      </x:c>
      <x:c r="R13" s="15" t="str">
        <x:v>Beta</x:v>
      </x:c>
      <x:c r="S13" s="15" t="str">
        <x:v>High ATK, low health profile.</x:v>
      </x:c>
    </x:row>
    <x:row r="14">
      <x:c r="A14" s="15" t="str">
        <x:v>sonic_attack_saranyus_armory</x:v>
      </x:c>
      <x:c r="B14" s="15" t="str">
        <x:v>saranyus-armory</x:v>
      </x:c>
      <x:c r="C14" s="15" t="str">
        <x:v>Saranyu’s Armory</x:v>
      </x:c>
      <x:c r="D14" s="15" t="str">
        <x:v>Sonic</x:v>
      </x:c>
      <x:c r="E14" s="15" t="str">
        <x:v>Attack</x:v>
      </x:c>
      <x:c r="F14" s="15" t="str">
        <x:v>Burst</x:v>
      </x:c>
      <x:c r="G14" s="20" t="n">
        <x:v>1</x:v>
      </x:c>
      <x:c r="H14" s="20"/>
      <x:c r="I14" s="20"/>
      <x:c r="J14" s="15" t="str">
        <x:v>Target 1 Warrior, deal 2000 additional damage this turn.</x:v>
      </x:c>
      <x:c r="K14" s="15" t="str">
        <x:v>add_damage_to_target_warrior_this_turn</x:v>
      </x:c>
      <x:c r="L14" s="20" t="n">
        <x:v>2000</x:v>
      </x:c>
      <x:c r="M14" s="20"/>
      <x:c r="N14" s="15" t="str">
        <x:v>target_warrior</x:v>
      </x:c>
      <x:c r="O14" s="15" t="str">
        <x:v>this_turn</x:v>
      </x:c>
      <x:c r="P14" s="15" t="str">
        <x:v>saranyus-armory.webp</x:v>
      </x:c>
      <x:c r="Q14" s="15" t="str">
        <x:v>Saranyu‘s Armory.png</x:v>
      </x:c>
      <x:c r="R14" s="15" t="str">
        <x:v>Beta</x:v>
      </x:c>
      <x:c r="S14" s="15" t="str">
        <x:v>Uses curly apostrophe in source filename.</x:v>
      </x:c>
    </x:row>
    <x:row r="15">
      <x:c r="A15" s="15" t="str">
        <x:v>sonic_warrior_sunourufu</x:v>
      </x:c>
      <x:c r="B15" s="15" t="str">
        <x:v>sunourufu</x:v>
      </x:c>
      <x:c r="C15" s="15" t="str">
        <x:v>Sunōurufu</x:v>
      </x:c>
      <x:c r="D15" s="15" t="str">
        <x:v>Sonic</x:v>
      </x:c>
      <x:c r="E15" s="15" t="str">
        <x:v>Warrior</x:v>
      </x:c>
      <x:c r="F15" s="15" t="str"/>
      <x:c r="G15" s="20" t="n">
        <x:v>2</x:v>
      </x:c>
      <x:c r="H15" s="20" t="n">
        <x:v>2350</x:v>
      </x:c>
      <x:c r="I15" s="20" t="n">
        <x:v>6000</x:v>
      </x:c>
      <x:c r="J15" s="15" t="str"/>
      <x:c r="K15" s="15" t="str"/>
      <x:c r="L15" s="20"/>
      <x:c r="M15" s="20"/>
      <x:c r="N15" s="15" t="str"/>
      <x:c r="O15" s="15" t="str"/>
      <x:c r="P15" s="15" t="str">
        <x:v>sunourufu.webp</x:v>
      </x:c>
      <x:c r="Q15" s="15" t="str">
        <x:v>Sunōurufu.png</x:v>
      </x:c>
      <x:c r="R15" s="15" t="str">
        <x:v>Beta</x:v>
      </x:c>
      <x:c r="S15" s="15" t="str"/>
    </x:row>
    <x:row r="16">
      <x:c r="A16" s="15" t="str">
        <x:v>sonic_warrior_titus</x:v>
      </x:c>
      <x:c r="B16" s="15" t="str">
        <x:v>titus</x:v>
      </x:c>
      <x:c r="C16" s="15" t="str">
        <x:v>Titus</x:v>
      </x:c>
      <x:c r="D16" s="15" t="str">
        <x:v>Sonic</x:v>
      </x:c>
      <x:c r="E16" s="15" t="str">
        <x:v>Warrior</x:v>
      </x:c>
      <x:c r="F16" s="15" t="str"/>
      <x:c r="G16" s="20" t="n">
        <x:v>3</x:v>
      </x:c>
      <x:c r="H16" s="20" t="n">
        <x:v>2800</x:v>
      </x:c>
      <x:c r="I16" s="20" t="n">
        <x:v>6000</x:v>
      </x:c>
      <x:c r="J16" s="15" t="str"/>
      <x:c r="K16" s="15" t="str"/>
      <x:c r="L16" s="20"/>
      <x:c r="M16" s="20"/>
      <x:c r="N16" s="15" t="str"/>
      <x:c r="O16" s="15" t="str"/>
      <x:c r="P16" s="15" t="str">
        <x:v>titus.webp</x:v>
      </x:c>
      <x:c r="Q16" s="15" t="str">
        <x:v>Titus(1).png</x:v>
      </x:c>
      <x:c r="R16" s="15" t="str">
        <x:v>Beta</x:v>
      </x:c>
      <x:c r="S16" s="15" t="str"/>
    </x:row>
    <x:row r="17">
      <x:c r="A17" s="15" t="str">
        <x:v>sonic_warrior_tristin_dangan</x:v>
      </x:c>
      <x:c r="B17" s="15" t="str">
        <x:v>tristin-dangan</x:v>
      </x:c>
      <x:c r="C17" s="15" t="str">
        <x:v>Tristin Dangan</x:v>
      </x:c>
      <x:c r="D17" s="15" t="str">
        <x:v>Sonic</x:v>
      </x:c>
      <x:c r="E17" s="15" t="str">
        <x:v>Warrior</x:v>
      </x:c>
      <x:c r="F17" s="15" t="str"/>
      <x:c r="G17" s="20" t="n">
        <x:v>1</x:v>
      </x:c>
      <x:c r="H17" s="20" t="n">
        <x:v>1900</x:v>
      </x:c>
      <x:c r="I17" s="20" t="n">
        <x:v>5500</x:v>
      </x:c>
      <x:c r="J17" s="15" t="str"/>
      <x:c r="K17" s="15" t="str"/>
      <x:c r="L17" s="20"/>
      <x:c r="M17" s="20"/>
      <x:c r="N17" s="15" t="str"/>
      <x:c r="O17" s="15" t="str"/>
      <x:c r="P17" s="15" t="str">
        <x:v>tristin-dangan.webp</x:v>
      </x:c>
      <x:c r="Q17" s="15" t="str">
        <x:v>Tristin.png</x:v>
      </x:c>
      <x:c r="R17" s="15" t="str">
        <x:v>Beta</x:v>
      </x:c>
      <x:c r="S17" s="15" t="str"/>
    </x:row>
    <x:row r="18">
      <x:c r="A18" s="15" t="str">
        <x:v>sonic_warrior_warden_babylon</x:v>
      </x:c>
      <x:c r="B18" s="15" t="str">
        <x:v>warden-babylon</x:v>
      </x:c>
      <x:c r="C18" s="15" t="str">
        <x:v>Warden Babylon</x:v>
      </x:c>
      <x:c r="D18" s="15" t="str">
        <x:v>Sonic</x:v>
      </x:c>
      <x:c r="E18" s="15" t="str">
        <x:v>Warrior</x:v>
      </x:c>
      <x:c r="F18" s="15" t="str"/>
      <x:c r="G18" s="20" t="n">
        <x:v>2</x:v>
      </x:c>
      <x:c r="H18" s="20" t="n">
        <x:v>2500</x:v>
      </x:c>
      <x:c r="I18" s="20" t="n">
        <x:v>6100</x:v>
      </x:c>
      <x:c r="J18" s="15" t="str"/>
      <x:c r="K18" s="15" t="str"/>
      <x:c r="L18" s="20"/>
      <x:c r="M18" s="20"/>
      <x:c r="N18" s="15" t="str"/>
      <x:c r="O18" s="15" t="str"/>
      <x:c r="P18" s="15" t="str">
        <x:v>warden-babylon.webp</x:v>
      </x:c>
      <x:c r="Q18" s="15" t="str">
        <x:v>Warden Babylon.png</x:v>
      </x:c>
      <x:c r="R18" s="15" t="str">
        <x:v>Beta</x:v>
      </x:c>
      <x:c r="S18" s="15" t="str"/>
    </x:row>
    <x:row r="19">
      <x:c r="A19" s="15" t="str">
        <x:v>sonic_warrior_yojimbo</x:v>
      </x:c>
      <x:c r="B19" s="15" t="str">
        <x:v>yojimbo</x:v>
      </x:c>
      <x:c r="C19" s="15" t="str">
        <x:v>Yojimbo</x:v>
      </x:c>
      <x:c r="D19" s="15" t="str">
        <x:v>Sonic</x:v>
      </x:c>
      <x:c r="E19" s="15" t="str">
        <x:v>Warrior</x:v>
      </x:c>
      <x:c r="F19" s="15" t="str"/>
      <x:c r="G19" s="20" t="n">
        <x:v>3</x:v>
      </x:c>
      <x:c r="H19" s="20" t="n">
        <x:v>2750</x:v>
      </x:c>
      <x:c r="I19" s="20" t="n">
        <x:v>6500</x:v>
      </x:c>
      <x:c r="J19" s="15" t="str"/>
      <x:c r="K19" s="15" t="str"/>
      <x:c r="L19" s="20"/>
      <x:c r="M19" s="20"/>
      <x:c r="N19" s="15" t="str"/>
      <x:c r="O19" s="15" t="str"/>
      <x:c r="P19" s="15" t="str">
        <x:v>yojimbo.webp</x:v>
      </x:c>
      <x:c r="Q19" s="15" t="str">
        <x:v>Yojimbo.png</x:v>
      </x:c>
      <x:c r="R19" s="15" t="str">
        <x:v>Beta</x:v>
      </x:c>
      <x:c r="S19" s="15" t="str"/>
    </x:row>
  </x:sheetData>
  <x:dataValidations count="4">
    <x:dataValidation type="list" sqref="D2:D19">
      <x:formula1>"Sonic"</x:formula1>
    </x:dataValidation>
    <x:dataValidation type="list" sqref="E2:E19">
      <x:formula1>"Warrior,Attack,Item,Weapon,Field"</x:formula1>
    </x:dataValidation>
    <x:dataValidation type="list" sqref="F2:F19">
      <x:formula1>",Burst,Finisher,Lingering,Multi"</x:formula1>
    </x:dataValidation>
    <x:dataValidation type="list" sqref="R2:R19">
      <x:formula1>"Beta,Common,Rare,Ultra Rare,Legendary"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264474dc9f49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6" t="str">
        <x:v>Cost Scale</x:v>
      </x:c>
      <x:c r="B1" s="6" t="str">
        <x:v>Rule</x:v>
      </x:c>
    </x:row>
    <x:row r="2">
      <x:c r="A2" s="22" t="str">
        <x:v>1 Spirit</x:v>
      </x:c>
      <x:c r="B2" s="22" t="str">
        <x:v>Warrior ATK &lt;= 2200</x:v>
      </x:c>
    </x:row>
    <x:row r="3">
      <x:c r="A3" s="22" t="str">
        <x:v>2 Spirit</x:v>
      </x:c>
      <x:c r="B3" s="22" t="str">
        <x:v>Warrior ATK 2300–2500</x:v>
      </x:c>
    </x:row>
    <x:row r="4">
      <x:c r="A4" s="22" t="str">
        <x:v>3 Spirit</x:v>
      </x:c>
      <x:c r="B4" s="22" t="str">
        <x:v>Warrior ATK &gt;= 2600</x:v>
      </x:c>
    </x:row>
    <x:row r="5">
      <x:c r="A5" s="22" t="str">
        <x:v>1 Spirit</x:v>
      </x:c>
      <x:c r="B5" s="22" t="str">
        <x:v>All Attack cards</x:v>
      </x:c>
    </x:row>
    <x:row r="6">
      <x:c r="A6" s="22" t="str">
        <x:v>Note</x:v>
      </x:c>
      <x:c r="B6" s="22" t="str">
        <x:v>Costs ignore existing card costs and are scaled by ATK range, per beta setup.</x:v>
      </x:c>
    </x:row>
  </x:sheetData>
  <x:pageMargins left="0.7" right="0.7" top="0.75" bottom="0.75" header="0.3" footer="0.3"/>
  <x:tableParts count="1">
    <x:tablePart xmlns:r="http://schemas.openxmlformats.org/officeDocument/2006/relationships" r:id="R1fddc835065f42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16" hidden="0" customWidth="1"/>
    <x:col min="4" max="4" width="16" hidden="0" customWidth="1"/>
    <x:col min="5" max="5" width="26" hidden="0" customWidth="1"/>
    <x:col min="6" max="6" width="26" hidden="0" customWidth="1"/>
    <x:col min="7" max="7" width="58" hidden="0" customWidth="1"/>
  </x:cols>
  <x:sheetData>
    <x:row r="1">
      <x:c r="A1" s="6" t="str">
        <x:v>effect_key</x:v>
      </x:c>
      <x:c r="B1" s="6" t="str">
        <x:v>plain_english_logic</x:v>
      </x:c>
      <x:c r="C1" s="6" t="str">
        <x:v>amount</x:v>
      </x:c>
      <x:c r="D1" s="6" t="str">
        <x:v>secondary_amount</x:v>
      </x:c>
      <x:c r="E1" s="6" t="str">
        <x:v>target</x:v>
      </x:c>
      <x:c r="F1" s="6" t="str">
        <x:v>duration</x:v>
      </x:c>
      <x:c r="G1" s="6" t="str">
        <x:v>implementation_notes</x:v>
      </x:c>
    </x:row>
    <x:row r="2">
      <x:c r="A2" s="24" t="str">
        <x:v>aoe_damage_then_delayed_damage</x:v>
      </x:c>
      <x:c r="B2" s="24" t="str">
        <x:v>Deal damage to all opponent Warriors now, then deal delayed damage next turn to each Warrior that was hit.</x:v>
      </x:c>
      <x:c r="C2" s="24" t="n">
        <x:v>1500</x:v>
      </x:c>
      <x:c r="D2" s="24" t="n">
        <x:v>500</x:v>
      </x:c>
      <x:c r="E2" s="24" t="str">
        <x:v>all_opponent_warriors</x:v>
      </x:c>
      <x:c r="F2" s="24" t="str">
        <x:v>next_turn</x:v>
      </x:c>
      <x:c r="G2" s="24" t="str">
        <x:v>Requires the rules engine to remember which Warriors took the initial 1500 damage.</x:v>
      </x:c>
    </x:row>
    <x:row r="3">
      <x:c r="A3" s="24" t="str">
        <x:v>destroy_enemy_warrior</x:v>
      </x:c>
      <x:c r="B3" s="24" t="str">
        <x:v>Destroy 1 Warrior on opponent's field.</x:v>
      </x:c>
      <x:c r="C3" s="24" t="n">
        <x:v>1</x:v>
      </x:c>
      <x:c r="D3" s="24"/>
      <x:c r="E3" s="24" t="str">
        <x:v>opponent_warrior</x:v>
      </x:c>
      <x:c r="F3" s="24" t="str">
        <x:v>instant</x:v>
      </x:c>
      <x:c r="G3" s="24" t="str">
        <x:v>Target selection required.</x:v>
      </x:c>
    </x:row>
    <x:row r="4">
      <x:c r="A4" s="24" t="str">
        <x:v>add_damage_and_disable_attacked_warrior</x:v>
      </x:c>
      <x:c r="B4" s="24" t="str">
        <x:v>Add damage this turn; the Warrior attacked by this card cannot attack for 2 turns.</x:v>
      </x:c>
      <x:c r="C4" s="24" t="n">
        <x:v>1000</x:v>
      </x:c>
      <x:c r="D4" s="24"/>
      <x:c r="E4" s="24" t="str">
        <x:v>attacked_warrior</x:v>
      </x:c>
      <x:c r="F4" s="24" t="str">
        <x:v>2_turns</x:v>
      </x:c>
      <x:c r="G4" s="24" t="str">
        <x:v>Clarify whether +1000 applies to one attack or all attacks this turn.</x:v>
      </x:c>
    </x:row>
    <x:row r="5">
      <x:c r="A5" s="24" t="str">
        <x:v>add_damage_to_target_warrior_this_turn</x:v>
      </x:c>
      <x:c r="B5" s="24" t="str">
        <x:v>Target 1 Warrior and add damage to attacks against that target this turn.</x:v>
      </x:c>
      <x:c r="C5" s="24" t="n">
        <x:v>2000</x:v>
      </x:c>
      <x:c r="D5" s="24"/>
      <x:c r="E5" s="24" t="str">
        <x:v>target_warrior</x:v>
      </x:c>
      <x:c r="F5" s="24" t="str">
        <x:v>this_turn</x:v>
      </x:c>
      <x:c r="G5" s="24" t="str">
        <x:v>Clarify whether damage boost is attached to your next attack or any attack against selected Warrior this turn.</x:v>
      </x:c>
    </x:row>
  </x:sheetData>
  <x:pageMargins left="0.7" right="0.7" top="0.75" bottom="0.75" header="0.3" footer="0.3"/>
  <x:tableParts count="1">
    <x:tablePart xmlns:r="http://schemas.openxmlformats.org/officeDocument/2006/relationships" r:id="R715620ea5e684b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7" t="str">
        <x:v>Euphoria TCG — Sonic Beta Spreadsheet</x:v>
      </x:c>
      <x:c r="B1" s="27" t="str"/>
    </x:row>
    <x:row r="2">
      <x:c r="A2" s="32" t="str">
        <x:v>Generated</x:v>
      </x:c>
      <x:c r="B2" s="14" t="str">
        <x:v>2026-05-21 01:55 UTC</x:v>
      </x:c>
    </x:row>
    <x:row r="3">
      <x:c r="A3" s="32" t="str">
        <x:v>Total cards</x:v>
      </x:c>
      <x:c r="B3" s="14" t="n">
        <x:f>COUNTA('Sonic Cards'!C2:C19)</x:f>
        <x:v>18</x:v>
      </x:c>
    </x:row>
    <x:row r="4">
      <x:c r="A4" s="32" t="str">
        <x:v>Warrior cards</x:v>
      </x:c>
      <x:c r="B4" s="14" t="n">
        <x:f>COUNTIF('Sonic Cards'!E2:E19,"Warrior")</x:f>
        <x:v>14</x:v>
      </x:c>
    </x:row>
    <x:row r="5">
      <x:c r="A5" s="32" t="str">
        <x:v>Attack cards</x:v>
      </x:c>
      <x:c r="B5" s="36" t="n">
        <x:f>COUNTIF('Sonic Cards'!E2:E19,"Attack")</x:f>
        <x:v>4</x:v>
      </x:c>
    </x:row>
    <x:row r="6">
      <x:c r="A6" s="32" t="str">
        <x:v>Average Warrior ATK</x:v>
      </x:c>
      <x:c r="B6" s="36" t="n">
        <x:f>SUMIF('Sonic Cards'!E2:E19,"Warrior",'Sonic Cards'!H2:H19)/COUNTIF('Sonic Cards'!E2:E19,"Warrior")</x:f>
        <x:v>2242.8571428571427</x:v>
      </x:c>
    </x:row>
    <x:row r="7">
      <x:c r="A7" s="32" t="str">
        <x:v>Average Warrior HEALTH</x:v>
      </x:c>
      <x:c r="B7" s="36" t="n">
        <x:f>SUMIF('Sonic Cards'!E2:E19,"Warrior",'Sonic Cards'!I2:I19)/COUNTIF('Sonic Cards'!E2:E19,"Warrior")</x:f>
        <x:v>6221.428571428572</x:v>
      </x:c>
    </x:row>
    <x:row r="8">
      <x:c r="A8" s="32" t="str">
        <x:v>Cost 1 Warriors</x:v>
      </x:c>
      <x:c r="B8" s="36" t="n">
        <x:f>COUNTIFS('Sonic Cards'!E2:E19,"Warrior",'Sonic Cards'!G2:G19,1)</x:f>
        <x:v>8</x:v>
      </x:c>
    </x:row>
    <x:row r="9">
      <x:c r="A9" s="32" t="str">
        <x:v>Cost 2 Warriors</x:v>
      </x:c>
      <x:c r="B9" s="36" t="n">
        <x:f>COUNTIFS('Sonic Cards'!E2:E19,"Warrior",'Sonic Cards'!G2:G19,2)</x:f>
        <x:v>2</x:v>
      </x:c>
    </x:row>
    <x:row r="10">
      <x:c r="A10" s="32" t="str">
        <x:v>Cost 3 Warriors</x:v>
      </x:c>
      <x:c r="B10" s="36" t="n">
        <x:f>COUNTIFS('Sonic Cards'!E2:E19,"Warrior",'Sonic Cards'!G2:G19,3)</x:f>
        <x:v>4</x:v>
      </x:c>
    </x:row>
    <x:row r="13">
      <x:c r="A13" s="6" t="str">
        <x:v>Warrior</x:v>
      </x:c>
      <x:c r="B13" s="6" t="str">
        <x:v>ATK</x:v>
      </x:c>
      <x:c r="C13" s="6" t="str">
        <x:v>HEALTH</x:v>
      </x:c>
      <x:c r="D13" s="6" t="str">
        <x:v>Cost</x:v>
      </x:c>
    </x:row>
    <x:row r="14">
      <x:c r="A14" s="22" t="str">
        <x:v>Bit Schneider</x:v>
      </x:c>
      <x:c r="B14" s="22" t="n">
        <x:v>1900</x:v>
      </x:c>
      <x:c r="C14" s="22" t="n">
        <x:v>6500</x:v>
      </x:c>
      <x:c r="D14" s="22" t="n">
        <x:v>1</x:v>
      </x:c>
    </x:row>
    <x:row r="15">
      <x:c r="A15" s="22" t="str">
        <x:v>Brut</x:v>
      </x:c>
      <x:c r="B15" s="22" t="n">
        <x:v>3000</x:v>
      </x:c>
      <x:c r="C15" s="22" t="n">
        <x:v>5500</x:v>
      </x:c>
      <x:c r="D15" s="22" t="n">
        <x:v>3</x:v>
      </x:c>
    </x:row>
    <x:row r="16">
      <x:c r="A16" s="22" t="str">
        <x:v>Carlson</x:v>
      </x:c>
      <x:c r="B16" s="22" t="n">
        <x:v>1900</x:v>
      </x:c>
      <x:c r="C16" s="22" t="n">
        <x:v>6000</x:v>
      </x:c>
      <x:c r="D16" s="22" t="n">
        <x:v>1</x:v>
      </x:c>
    </x:row>
    <x:row r="17">
      <x:c r="A17" s="22" t="str">
        <x:v>Cassidy Sinclair</x:v>
      </x:c>
      <x:c r="B17" s="22" t="n">
        <x:v>1950</x:v>
      </x:c>
      <x:c r="C17" s="22" t="n">
        <x:v>6500</x:v>
      </x:c>
      <x:c r="D17" s="22" t="n">
        <x:v>1</x:v>
      </x:c>
    </x:row>
    <x:row r="18">
      <x:c r="A18" s="22" t="str">
        <x:v>High Councilor Jerome Baldwin</x:v>
      </x:c>
      <x:c r="B18" s="22" t="n">
        <x:v>1700</x:v>
      </x:c>
      <x:c r="C18" s="22" t="n">
        <x:v>10000</x:v>
      </x:c>
      <x:c r="D18" s="22" t="n">
        <x:v>1</x:v>
      </x:c>
    </x:row>
    <x:row r="19">
      <x:c r="A19" s="22" t="str">
        <x:v>Kit</x:v>
      </x:c>
      <x:c r="B19" s="22" t="n">
        <x:v>1800</x:v>
      </x:c>
      <x:c r="C19" s="22" t="n">
        <x:v>6500</x:v>
      </x:c>
      <x:c r="D19" s="22" t="n">
        <x:v>1</x:v>
      </x:c>
    </x:row>
    <x:row r="20">
      <x:c r="A20" s="22" t="str">
        <x:v>Lynn Katabatic</x:v>
      </x:c>
      <x:c r="B20" s="22" t="n">
        <x:v>2200</x:v>
      </x:c>
      <x:c r="C20" s="22" t="n">
        <x:v>5500</x:v>
      </x:c>
      <x:c r="D20" s="22" t="n">
        <x:v>1</x:v>
      </x:c>
    </x:row>
    <x:row r="21">
      <x:c r="A21" s="22" t="str">
        <x:v>Priest Aquinas</x:v>
      </x:c>
      <x:c r="B21" s="22" t="n">
        <x:v>2000</x:v>
      </x:c>
      <x:c r="C21" s="22" t="n">
        <x:v>5500</x:v>
      </x:c>
      <x:c r="D21" s="22" t="n">
        <x:v>1</x:v>
      </x:c>
    </x:row>
    <x:row r="22">
      <x:c r="A22" s="22" t="str">
        <x:v>Raigi</x:v>
      </x:c>
      <x:c r="B22" s="22" t="n">
        <x:v>2650</x:v>
      </x:c>
      <x:c r="C22" s="22" t="n">
        <x:v>5000</x:v>
      </x:c>
      <x:c r="D22" s="22" t="n">
        <x:v>3</x:v>
      </x:c>
    </x:row>
    <x:row r="23">
      <x:c r="A23" s="22" t="str">
        <x:v>Sunōurufu</x:v>
      </x:c>
      <x:c r="B23" s="22" t="n">
        <x:v>2350</x:v>
      </x:c>
      <x:c r="C23" s="22" t="n">
        <x:v>6000</x:v>
      </x:c>
      <x:c r="D23" s="22" t="n">
        <x:v>2</x:v>
      </x:c>
    </x:row>
    <x:row r="24">
      <x:c r="A24" s="22" t="str">
        <x:v>Titus</x:v>
      </x:c>
      <x:c r="B24" s="22" t="n">
        <x:v>2800</x:v>
      </x:c>
      <x:c r="C24" s="22" t="n">
        <x:v>6000</x:v>
      </x:c>
      <x:c r="D24" s="22" t="n">
        <x:v>3</x:v>
      </x:c>
    </x:row>
    <x:row r="25">
      <x:c r="A25" s="22" t="str">
        <x:v>Tristin Dangan</x:v>
      </x:c>
      <x:c r="B25" s="22" t="n">
        <x:v>1900</x:v>
      </x:c>
      <x:c r="C25" s="22" t="n">
        <x:v>5500</x:v>
      </x:c>
      <x:c r="D25" s="22" t="n">
        <x:v>1</x:v>
      </x:c>
    </x:row>
    <x:row r="26">
      <x:c r="A26" s="22" t="str">
        <x:v>Warden Babylon</x:v>
      </x:c>
      <x:c r="B26" s="22" t="n">
        <x:v>2500</x:v>
      </x:c>
      <x:c r="C26" s="22" t="n">
        <x:v>6100</x:v>
      </x:c>
      <x:c r="D26" s="22" t="n">
        <x:v>2</x:v>
      </x:c>
    </x:row>
    <x:row r="27">
      <x:c r="A27" s="22" t="str">
        <x:v>Yojimbo</x:v>
      </x:c>
      <x:c r="B27" s="22" t="n">
        <x:v>2750</x:v>
      </x:c>
      <x:c r="C27" s="22" t="n">
        <x:v>6500</x:v>
      </x:c>
      <x:c r="D27" s="22" t="n">
        <x:v>3</x:v>
      </x:c>
    </x:row>
  </x:sheetData>
  <x:pageMargins left="0.7" right="0.7" top="0.75" bottom="0.75" header="0.3" footer="0.3"/>
  <x:drawing xmlns:r="http://schemas.openxmlformats.org/officeDocument/2006/relationships" r:id="R07a3a2c9a8204b23"/>
</x:worksheet>
</file>